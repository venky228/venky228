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thin 5 nodes" sheetId="2" state="visible" r:id="rId2"/>
    <sheet name="Within 6 nodes" sheetId="3" state="visible" r:id="rId3"/>
    <sheet name="Within 7 nodes" sheetId="4" state="visible" r:id="rId4"/>
    <sheet name="Within 8 nodes" sheetId="5" state="visible" r:id="rId5"/>
    <sheet name="All Tabl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F7F7F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5" customWidth="1" min="4" max="4"/>
    <col width="40" customWidth="1" min="5" max="5"/>
  </cols>
  <sheetData>
    <row r="1">
      <c r="A1" s="1" t="inlineStr">
        <is>
          <t>IA builds (DISIS-2023-001, Table 5) to model in the base and project cases, by reach from the study POIs</t>
        </is>
      </c>
    </row>
    <row r="2">
      <c r="A2" s="2" t="inlineStr">
        <is>
          <t>nodes = fewest buses crossed | |Z| = smallest summed branch |R+jX| pu, 100 MVA (z6_poi_distance.py on DIS2201-25SP-G03-CQ_Mitigated.sav). Area from TO -- confirm in the case.</t>
        </is>
      </c>
    </row>
    <row r="4">
      <c r="A4" s="3" t="inlineStr">
        <is>
          <t>Reach</t>
        </is>
      </c>
      <c r="B4" s="3" t="inlineStr">
        <is>
          <t>Builds</t>
        </is>
      </c>
      <c r="C4" s="3" t="inlineStr">
        <is>
          <t>Total MW</t>
        </is>
      </c>
      <c r="D4" s="3" t="inlineStr">
        <is>
          <t>GEN numbers</t>
        </is>
      </c>
      <c r="E4" s="3" t="inlineStr">
        <is>
          <t>New vs previous reach</t>
        </is>
      </c>
    </row>
    <row r="5">
      <c r="A5" s="4" t="inlineStr">
        <is>
          <t>within 5 nodes</t>
        </is>
      </c>
      <c r="B5" s="4" t="n">
        <v>5</v>
      </c>
      <c r="C5" s="4" t="n">
        <v>1050</v>
      </c>
      <c r="D5" s="4" t="inlineStr">
        <is>
          <t>GEN-2023-173, GEN-2023-172, GEN-2023-107, GEN-2023-099, GEN-2023-171</t>
        </is>
      </c>
      <c r="E5" s="4" t="inlineStr">
        <is>
          <t>-</t>
        </is>
      </c>
    </row>
    <row r="6">
      <c r="A6" s="4" t="inlineStr">
        <is>
          <t>within 6 nodes</t>
        </is>
      </c>
      <c r="B6" s="4" t="n">
        <v>6</v>
      </c>
      <c r="C6" s="4" t="n">
        <v>1250</v>
      </c>
      <c r="D6" s="4" t="inlineStr">
        <is>
          <t>GEN-2023-173, GEN-2023-172, GEN-2023-107, GEN-2023-099, GEN-2023-171, GEN-2023-033</t>
        </is>
      </c>
      <c r="E6" s="4" t="inlineStr">
        <is>
          <t>GEN-2023-033</t>
        </is>
      </c>
    </row>
    <row r="7">
      <c r="A7" s="4" t="inlineStr">
        <is>
          <t>within 7 nodes</t>
        </is>
      </c>
      <c r="B7" s="4" t="n">
        <v>7</v>
      </c>
      <c r="C7" s="4" t="n">
        <v>1400</v>
      </c>
      <c r="D7" s="4" t="inlineStr">
        <is>
          <t>GEN-2023-173, GEN-2023-172, GEN-2023-107, GEN-2023-099, GEN-2023-171, GEN-2023-033, GEN-2023-170</t>
        </is>
      </c>
      <c r="E7" s="4" t="inlineStr">
        <is>
          <t>GEN-2023-170</t>
        </is>
      </c>
    </row>
    <row r="8">
      <c r="A8" s="4" t="inlineStr">
        <is>
          <t>within 8 nodes</t>
        </is>
      </c>
      <c r="B8" s="4" t="n">
        <v>7</v>
      </c>
      <c r="C8" s="4" t="n">
        <v>1400</v>
      </c>
      <c r="D8" s="4" t="inlineStr">
        <is>
          <t>GEN-2023-173, GEN-2023-172, GEN-2023-107, GEN-2023-099, GEN-2023-171, GEN-2023-033, GEN-2023-170</t>
        </is>
      </c>
      <c r="E8" s="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3" customWidth="1" min="4" max="4"/>
    <col width="6" customWidth="1" min="5" max="5"/>
    <col width="8" customWidth="1" min="6" max="6"/>
    <col width="9" customWidth="1" min="7" max="7"/>
    <col width="9" customWidth="1" min="8" max="8"/>
    <col width="12" customWidth="1" min="9" max="9"/>
    <col width="6" customWidth="1" min="10" max="10"/>
    <col width="26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3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Within 5 nodes of any study project -- 5 builds, 1050 MW</t>
        </is>
      </c>
    </row>
    <row r="2">
      <c r="A2" s="2" t="inlineStr">
        <is>
          <t>Green = within 5 nodes of that project.</t>
        </is>
      </c>
    </row>
    <row r="4" ht="45" customHeight="1">
      <c r="A4" s="5" t="inlineStr">
        <is>
          <t>#</t>
        </is>
      </c>
      <c r="B4" s="5" t="inlineStr">
        <is>
          <t>GEN number</t>
        </is>
      </c>
      <c r="C4" s="5" t="inlineStr">
        <is>
          <t>Cluster</t>
        </is>
      </c>
      <c r="D4" s="5" t="inlineStr">
        <is>
          <t>County</t>
        </is>
      </c>
      <c r="E4" s="5" t="inlineStr">
        <is>
          <t>State</t>
        </is>
      </c>
      <c r="F4" s="5" t="inlineStr">
        <is>
          <t>TO at POI</t>
        </is>
      </c>
      <c r="G4" s="5" t="inlineStr">
        <is>
          <t>Area (from TO)</t>
        </is>
      </c>
      <c r="H4" s="5" t="inlineStr">
        <is>
          <t>POI bus</t>
        </is>
      </c>
      <c r="I4" s="5" t="inlineStr">
        <is>
          <t>POI bus name</t>
        </is>
      </c>
      <c r="J4" s="5" t="inlineStr">
        <is>
          <t>kV</t>
        </is>
      </c>
      <c r="K4" s="5" t="inlineStr">
        <is>
          <t>Substation</t>
        </is>
      </c>
      <c r="L4" s="5" t="inlineStr">
        <is>
          <t>Generation type</t>
        </is>
      </c>
      <c r="M4" s="5" t="inlineStr">
        <is>
          <t>Service type</t>
        </is>
      </c>
      <c r="N4" s="5" t="inlineStr">
        <is>
          <t>Capacity MW</t>
        </is>
      </c>
      <c r="O4" s="5" t="inlineStr">
        <is>
          <t>Max summer MW</t>
        </is>
      </c>
      <c r="P4" s="5" t="inlineStr">
        <is>
          <t>In-service date</t>
        </is>
      </c>
      <c r="Q4" s="5" t="inlineStr">
        <is>
          <t>COD</t>
        </is>
      </c>
      <c r="R4" s="5" t="inlineStr">
        <is>
          <t>Near projects (nodes)</t>
        </is>
      </c>
      <c r="S4" s="5" t="inlineStr">
        <is>
          <t>SantaFe nodes</t>
        </is>
      </c>
      <c r="T4" s="5" t="inlineStr">
        <is>
          <t>SantaFe |Z| pu</t>
        </is>
      </c>
      <c r="U4" s="5" t="inlineStr">
        <is>
          <t>EastFork nodes</t>
        </is>
      </c>
      <c r="V4" s="5" t="inlineStr">
        <is>
          <t>EastFork |Z| pu</t>
        </is>
      </c>
      <c r="W4" s="5" t="inlineStr">
        <is>
          <t>IronStar nodes</t>
        </is>
      </c>
      <c r="X4" s="5" t="inlineStr">
        <is>
          <t>IronStar |Z| pu</t>
        </is>
      </c>
      <c r="Y4" s="5" t="inlineStr">
        <is>
          <t>EmpirePrairie nodes</t>
        </is>
      </c>
      <c r="Z4" s="5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n">
        <v>531449</v>
      </c>
      <c r="I5" s="4" t="inlineStr">
        <is>
          <t>HOLCOMB7</t>
        </is>
      </c>
      <c r="J5" s="4" t="n">
        <v>345</v>
      </c>
      <c r="K5" s="4" t="inlineStr">
        <is>
          <t>Holcomb 345 kV</t>
        </is>
      </c>
      <c r="L5" s="4" t="inlineStr">
        <is>
          <t>Wind</t>
        </is>
      </c>
      <c r="M5" s="4" t="inlineStr">
        <is>
          <t>ER/NR</t>
        </is>
      </c>
      <c r="N5" s="4" t="n">
        <v>100</v>
      </c>
      <c r="O5" s="4" t="n">
        <v>100</v>
      </c>
      <c r="P5" s="4" t="inlineStr">
        <is>
          <t>1/9/2027</t>
        </is>
      </c>
      <c r="Q5" s="4" t="inlineStr">
        <is>
          <t>12/31/2029</t>
        </is>
      </c>
      <c r="R5" s="4" t="inlineStr">
        <is>
          <t>SantaFe 2, EastFork 4, IronStar 5</t>
        </is>
      </c>
      <c r="S5" s="6" t="n">
        <v>2</v>
      </c>
      <c r="T5" s="7" t="n">
        <v>0.0234</v>
      </c>
      <c r="U5" s="6" t="n">
        <v>4</v>
      </c>
      <c r="V5" s="7" t="n">
        <v>0.16</v>
      </c>
      <c r="W5" s="6" t="n">
        <v>5</v>
      </c>
      <c r="X5" s="7" t="n">
        <v>0.0448</v>
      </c>
      <c r="Y5" s="4" t="n">
        <v>13</v>
      </c>
      <c r="Z5" s="8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n">
        <v>531449</v>
      </c>
      <c r="I6" s="4" t="inlineStr">
        <is>
          <t>HOLCOMB7</t>
        </is>
      </c>
      <c r="J6" s="4" t="n">
        <v>345</v>
      </c>
      <c r="K6" s="4" t="inlineStr">
        <is>
          <t>Holcomb 345 kV</t>
        </is>
      </c>
      <c r="L6" s="4" t="inlineStr">
        <is>
          <t>Wind</t>
        </is>
      </c>
      <c r="M6" s="4" t="inlineStr">
        <is>
          <t>ER/NR</t>
        </is>
      </c>
      <c r="N6" s="4" t="n">
        <v>200</v>
      </c>
      <c r="O6" s="4" t="n">
        <v>200</v>
      </c>
      <c r="P6" s="4" t="inlineStr">
        <is>
          <t>1/9/2027</t>
        </is>
      </c>
      <c r="Q6" s="4" t="inlineStr">
        <is>
          <t>12/31/2029</t>
        </is>
      </c>
      <c r="R6" s="4" t="inlineStr">
        <is>
          <t>SantaFe 2, EastFork 4, IronStar 5</t>
        </is>
      </c>
      <c r="S6" s="6" t="n">
        <v>2</v>
      </c>
      <c r="T6" s="7" t="n">
        <v>0.0234</v>
      </c>
      <c r="U6" s="6" t="n">
        <v>4</v>
      </c>
      <c r="V6" s="7" t="n">
        <v>0.16</v>
      </c>
      <c r="W6" s="6" t="n">
        <v>5</v>
      </c>
      <c r="X6" s="7" t="n">
        <v>0.0448</v>
      </c>
      <c r="Y6" s="4" t="n">
        <v>13</v>
      </c>
      <c r="Z6" s="8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n">
        <v>531465</v>
      </c>
      <c r="I7" s="4" t="inlineStr">
        <is>
          <t>SETAB  7</t>
        </is>
      </c>
      <c r="J7" s="4" t="n">
        <v>345</v>
      </c>
      <c r="K7" s="4" t="inlineStr">
        <is>
          <t>Setab 345 kV</t>
        </is>
      </c>
      <c r="L7" s="4" t="inlineStr">
        <is>
          <t>Wind</t>
        </is>
      </c>
      <c r="M7" s="4" t="inlineStr">
        <is>
          <t>ER</t>
        </is>
      </c>
      <c r="N7" s="4" t="n">
        <v>300</v>
      </c>
      <c r="O7" s="4" t="n">
        <v>300</v>
      </c>
      <c r="P7" s="4" t="inlineStr">
        <is>
          <t>1/5/2030</t>
        </is>
      </c>
      <c r="Q7" s="4" t="inlineStr">
        <is>
          <t>12/31/2030</t>
        </is>
      </c>
      <c r="R7" s="4" t="inlineStr">
        <is>
          <t>SantaFe 3, EastFork 3</t>
        </is>
      </c>
      <c r="S7" s="6" t="n">
        <v>3</v>
      </c>
      <c r="T7" s="7" t="n">
        <v>0.0427</v>
      </c>
      <c r="U7" s="6" t="n">
        <v>3</v>
      </c>
      <c r="V7" s="7" t="n">
        <v>0.1407</v>
      </c>
      <c r="W7" s="4" t="n">
        <v>6</v>
      </c>
      <c r="X7" s="8" t="n">
        <v>0.0641</v>
      </c>
      <c r="Y7" s="4" t="n">
        <v>12</v>
      </c>
      <c r="Z7" s="8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n">
        <v>532766</v>
      </c>
      <c r="I8" s="4" t="inlineStr">
        <is>
          <t>JEC N  7</t>
        </is>
      </c>
      <c r="J8" s="4" t="n">
        <v>345</v>
      </c>
      <c r="K8" s="4" t="inlineStr">
        <is>
          <t>Jeffery Energy Center 345 kV</t>
        </is>
      </c>
      <c r="L8" s="4" t="inlineStr">
        <is>
          <t>Solar</t>
        </is>
      </c>
      <c r="M8" s="4" t="inlineStr">
        <is>
          <t>ER</t>
        </is>
      </c>
      <c r="N8" s="4" t="n">
        <v>300</v>
      </c>
      <c r="O8" s="4" t="n">
        <v>300</v>
      </c>
      <c r="P8" s="4" t="inlineStr">
        <is>
          <t>8/30/2030</t>
        </is>
      </c>
      <c r="Q8" s="4" t="inlineStr">
        <is>
          <t>12/31/2030</t>
        </is>
      </c>
      <c r="R8" s="4" t="inlineStr">
        <is>
          <t>EmpirePrairie 5</t>
        </is>
      </c>
      <c r="S8" s="4" t="n">
        <v>10</v>
      </c>
      <c r="T8" s="8" t="n">
        <v>0.1996</v>
      </c>
      <c r="U8" s="4" t="n">
        <v>15</v>
      </c>
      <c r="V8" s="8" t="n">
        <v>0.383</v>
      </c>
      <c r="W8" s="4" t="n">
        <v>8</v>
      </c>
      <c r="X8" s="8" t="n">
        <v>0.1782</v>
      </c>
      <c r="Y8" s="6" t="n">
        <v>5</v>
      </c>
      <c r="Z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n">
        <v>548814</v>
      </c>
      <c r="I9" s="4" t="inlineStr">
        <is>
          <t>SUB M-161</t>
        </is>
      </c>
      <c r="J9" s="4" t="n">
        <v>161</v>
      </c>
      <c r="K9" s="4" t="inlineStr">
        <is>
          <t>Sub M 161 kV</t>
        </is>
      </c>
      <c r="L9" s="4" t="inlineStr">
        <is>
          <t>Battery/Storage</t>
        </is>
      </c>
      <c r="M9" s="4" t="inlineStr">
        <is>
          <t>ER/NR</t>
        </is>
      </c>
      <c r="N9" s="4" t="n">
        <v>150</v>
      </c>
      <c r="O9" s="4" t="n">
        <v>150</v>
      </c>
      <c r="P9" s="4" t="inlineStr">
        <is>
          <t>1/2/2028</t>
        </is>
      </c>
      <c r="Q9" s="4" t="inlineStr">
        <is>
          <t>1/6/2028</t>
        </is>
      </c>
      <c r="R9" s="4" t="inlineStr">
        <is>
          <t>EmpirePrairie 5</t>
        </is>
      </c>
      <c r="S9" s="4" t="n">
        <v>17</v>
      </c>
      <c r="T9" s="8" t="n">
        <v>0.3571</v>
      </c>
      <c r="U9" s="4" t="n">
        <v>18</v>
      </c>
      <c r="V9" s="8" t="n">
        <v>0.5286999999999999</v>
      </c>
      <c r="W9" s="4" t="n">
        <v>16</v>
      </c>
      <c r="X9" s="8" t="n">
        <v>0.3357</v>
      </c>
      <c r="Y9" s="6" t="n">
        <v>5</v>
      </c>
      <c r="Z9" s="7" t="n">
        <v>0.1364</v>
      </c>
    </row>
    <row r="11">
      <c r="B11" s="9" t="inlineStr">
        <is>
          <t>TOTAL</t>
        </is>
      </c>
      <c r="N11" s="9">
        <f>SUM(N5:N9)</f>
        <v/>
      </c>
      <c r="O11" s="9">
        <f>SUM(O5:O9)</f>
        <v/>
      </c>
    </row>
    <row r="12">
      <c r="B12" t="inlineStr">
        <is>
          <t>Not in reach: GEN-2023-033, GEN-2023-170, GEN-2023-037, GEN-2023-034, GEN-2023-061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3" customWidth="1" min="4" max="4"/>
    <col width="6" customWidth="1" min="5" max="5"/>
    <col width="8" customWidth="1" min="6" max="6"/>
    <col width="9" customWidth="1" min="7" max="7"/>
    <col width="9" customWidth="1" min="8" max="8"/>
    <col width="12" customWidth="1" min="9" max="9"/>
    <col width="6" customWidth="1" min="10" max="10"/>
    <col width="26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3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Within 6 nodes of any study project -- 6 builds, 1250 MW</t>
        </is>
      </c>
    </row>
    <row r="2">
      <c r="A2" s="2" t="inlineStr">
        <is>
          <t>Green = within 6 nodes of that project.</t>
        </is>
      </c>
    </row>
    <row r="4" ht="45" customHeight="1">
      <c r="A4" s="5" t="inlineStr">
        <is>
          <t>#</t>
        </is>
      </c>
      <c r="B4" s="5" t="inlineStr">
        <is>
          <t>GEN number</t>
        </is>
      </c>
      <c r="C4" s="5" t="inlineStr">
        <is>
          <t>Cluster</t>
        </is>
      </c>
      <c r="D4" s="5" t="inlineStr">
        <is>
          <t>County</t>
        </is>
      </c>
      <c r="E4" s="5" t="inlineStr">
        <is>
          <t>State</t>
        </is>
      </c>
      <c r="F4" s="5" t="inlineStr">
        <is>
          <t>TO at POI</t>
        </is>
      </c>
      <c r="G4" s="5" t="inlineStr">
        <is>
          <t>Area (from TO)</t>
        </is>
      </c>
      <c r="H4" s="5" t="inlineStr">
        <is>
          <t>POI bus</t>
        </is>
      </c>
      <c r="I4" s="5" t="inlineStr">
        <is>
          <t>POI bus name</t>
        </is>
      </c>
      <c r="J4" s="5" t="inlineStr">
        <is>
          <t>kV</t>
        </is>
      </c>
      <c r="K4" s="5" t="inlineStr">
        <is>
          <t>Substation</t>
        </is>
      </c>
      <c r="L4" s="5" t="inlineStr">
        <is>
          <t>Generation type</t>
        </is>
      </c>
      <c r="M4" s="5" t="inlineStr">
        <is>
          <t>Service type</t>
        </is>
      </c>
      <c r="N4" s="5" t="inlineStr">
        <is>
          <t>Capacity MW</t>
        </is>
      </c>
      <c r="O4" s="5" t="inlineStr">
        <is>
          <t>Max summer MW</t>
        </is>
      </c>
      <c r="P4" s="5" t="inlineStr">
        <is>
          <t>In-service date</t>
        </is>
      </c>
      <c r="Q4" s="5" t="inlineStr">
        <is>
          <t>COD</t>
        </is>
      </c>
      <c r="R4" s="5" t="inlineStr">
        <is>
          <t>Near projects (nodes)</t>
        </is>
      </c>
      <c r="S4" s="5" t="inlineStr">
        <is>
          <t>SantaFe nodes</t>
        </is>
      </c>
      <c r="T4" s="5" t="inlineStr">
        <is>
          <t>SantaFe |Z| pu</t>
        </is>
      </c>
      <c r="U4" s="5" t="inlineStr">
        <is>
          <t>EastFork nodes</t>
        </is>
      </c>
      <c r="V4" s="5" t="inlineStr">
        <is>
          <t>EastFork |Z| pu</t>
        </is>
      </c>
      <c r="W4" s="5" t="inlineStr">
        <is>
          <t>IronStar nodes</t>
        </is>
      </c>
      <c r="X4" s="5" t="inlineStr">
        <is>
          <t>IronStar |Z| pu</t>
        </is>
      </c>
      <c r="Y4" s="5" t="inlineStr">
        <is>
          <t>EmpirePrairie nodes</t>
        </is>
      </c>
      <c r="Z4" s="5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n">
        <v>531449</v>
      </c>
      <c r="I5" s="4" t="inlineStr">
        <is>
          <t>HOLCOMB7</t>
        </is>
      </c>
      <c r="J5" s="4" t="n">
        <v>345</v>
      </c>
      <c r="K5" s="4" t="inlineStr">
        <is>
          <t>Holcomb 345 kV</t>
        </is>
      </c>
      <c r="L5" s="4" t="inlineStr">
        <is>
          <t>Wind</t>
        </is>
      </c>
      <c r="M5" s="4" t="inlineStr">
        <is>
          <t>ER/NR</t>
        </is>
      </c>
      <c r="N5" s="4" t="n">
        <v>100</v>
      </c>
      <c r="O5" s="4" t="n">
        <v>100</v>
      </c>
      <c r="P5" s="4" t="inlineStr">
        <is>
          <t>1/9/2027</t>
        </is>
      </c>
      <c r="Q5" s="4" t="inlineStr">
        <is>
          <t>12/31/2029</t>
        </is>
      </c>
      <c r="R5" s="4" t="inlineStr">
        <is>
          <t>SantaFe 2, EastFork 4, IronStar 5</t>
        </is>
      </c>
      <c r="S5" s="6" t="n">
        <v>2</v>
      </c>
      <c r="T5" s="7" t="n">
        <v>0.0234</v>
      </c>
      <c r="U5" s="6" t="n">
        <v>4</v>
      </c>
      <c r="V5" s="7" t="n">
        <v>0.16</v>
      </c>
      <c r="W5" s="6" t="n">
        <v>5</v>
      </c>
      <c r="X5" s="7" t="n">
        <v>0.0448</v>
      </c>
      <c r="Y5" s="4" t="n">
        <v>13</v>
      </c>
      <c r="Z5" s="8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n">
        <v>531449</v>
      </c>
      <c r="I6" s="4" t="inlineStr">
        <is>
          <t>HOLCOMB7</t>
        </is>
      </c>
      <c r="J6" s="4" t="n">
        <v>345</v>
      </c>
      <c r="K6" s="4" t="inlineStr">
        <is>
          <t>Holcomb 345 kV</t>
        </is>
      </c>
      <c r="L6" s="4" t="inlineStr">
        <is>
          <t>Wind</t>
        </is>
      </c>
      <c r="M6" s="4" t="inlineStr">
        <is>
          <t>ER/NR</t>
        </is>
      </c>
      <c r="N6" s="4" t="n">
        <v>200</v>
      </c>
      <c r="O6" s="4" t="n">
        <v>200</v>
      </c>
      <c r="P6" s="4" t="inlineStr">
        <is>
          <t>1/9/2027</t>
        </is>
      </c>
      <c r="Q6" s="4" t="inlineStr">
        <is>
          <t>12/31/2029</t>
        </is>
      </c>
      <c r="R6" s="4" t="inlineStr">
        <is>
          <t>SantaFe 2, EastFork 4, IronStar 5</t>
        </is>
      </c>
      <c r="S6" s="6" t="n">
        <v>2</v>
      </c>
      <c r="T6" s="7" t="n">
        <v>0.0234</v>
      </c>
      <c r="U6" s="6" t="n">
        <v>4</v>
      </c>
      <c r="V6" s="7" t="n">
        <v>0.16</v>
      </c>
      <c r="W6" s="6" t="n">
        <v>5</v>
      </c>
      <c r="X6" s="7" t="n">
        <v>0.0448</v>
      </c>
      <c r="Y6" s="4" t="n">
        <v>13</v>
      </c>
      <c r="Z6" s="8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n">
        <v>531465</v>
      </c>
      <c r="I7" s="4" t="inlineStr">
        <is>
          <t>SETAB  7</t>
        </is>
      </c>
      <c r="J7" s="4" t="n">
        <v>345</v>
      </c>
      <c r="K7" s="4" t="inlineStr">
        <is>
          <t>Setab 345 kV</t>
        </is>
      </c>
      <c r="L7" s="4" t="inlineStr">
        <is>
          <t>Wind</t>
        </is>
      </c>
      <c r="M7" s="4" t="inlineStr">
        <is>
          <t>ER</t>
        </is>
      </c>
      <c r="N7" s="4" t="n">
        <v>300</v>
      </c>
      <c r="O7" s="4" t="n">
        <v>300</v>
      </c>
      <c r="P7" s="4" t="inlineStr">
        <is>
          <t>1/5/2030</t>
        </is>
      </c>
      <c r="Q7" s="4" t="inlineStr">
        <is>
          <t>12/31/2030</t>
        </is>
      </c>
      <c r="R7" s="4" t="inlineStr">
        <is>
          <t>SantaFe 3, EastFork 3, IronStar 6</t>
        </is>
      </c>
      <c r="S7" s="6" t="n">
        <v>3</v>
      </c>
      <c r="T7" s="7" t="n">
        <v>0.0427</v>
      </c>
      <c r="U7" s="6" t="n">
        <v>3</v>
      </c>
      <c r="V7" s="7" t="n">
        <v>0.1407</v>
      </c>
      <c r="W7" s="6" t="n">
        <v>6</v>
      </c>
      <c r="X7" s="7" t="n">
        <v>0.0641</v>
      </c>
      <c r="Y7" s="4" t="n">
        <v>12</v>
      </c>
      <c r="Z7" s="8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n">
        <v>532766</v>
      </c>
      <c r="I8" s="4" t="inlineStr">
        <is>
          <t>JEC N  7</t>
        </is>
      </c>
      <c r="J8" s="4" t="n">
        <v>345</v>
      </c>
      <c r="K8" s="4" t="inlineStr">
        <is>
          <t>Jeffery Energy Center 345 kV</t>
        </is>
      </c>
      <c r="L8" s="4" t="inlineStr">
        <is>
          <t>Solar</t>
        </is>
      </c>
      <c r="M8" s="4" t="inlineStr">
        <is>
          <t>ER</t>
        </is>
      </c>
      <c r="N8" s="4" t="n">
        <v>300</v>
      </c>
      <c r="O8" s="4" t="n">
        <v>300</v>
      </c>
      <c r="P8" s="4" t="inlineStr">
        <is>
          <t>8/30/2030</t>
        </is>
      </c>
      <c r="Q8" s="4" t="inlineStr">
        <is>
          <t>12/31/2030</t>
        </is>
      </c>
      <c r="R8" s="4" t="inlineStr">
        <is>
          <t>EmpirePrairie 5</t>
        </is>
      </c>
      <c r="S8" s="4" t="n">
        <v>10</v>
      </c>
      <c r="T8" s="8" t="n">
        <v>0.1996</v>
      </c>
      <c r="U8" s="4" t="n">
        <v>15</v>
      </c>
      <c r="V8" s="8" t="n">
        <v>0.383</v>
      </c>
      <c r="W8" s="4" t="n">
        <v>8</v>
      </c>
      <c r="X8" s="8" t="n">
        <v>0.1782</v>
      </c>
      <c r="Y8" s="6" t="n">
        <v>5</v>
      </c>
      <c r="Z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n">
        <v>548814</v>
      </c>
      <c r="I9" s="4" t="inlineStr">
        <is>
          <t>SUB M-161</t>
        </is>
      </c>
      <c r="J9" s="4" t="n">
        <v>161</v>
      </c>
      <c r="K9" s="4" t="inlineStr">
        <is>
          <t>Sub M 161 kV</t>
        </is>
      </c>
      <c r="L9" s="4" t="inlineStr">
        <is>
          <t>Battery/Storage</t>
        </is>
      </c>
      <c r="M9" s="4" t="inlineStr">
        <is>
          <t>ER/NR</t>
        </is>
      </c>
      <c r="N9" s="4" t="n">
        <v>150</v>
      </c>
      <c r="O9" s="4" t="n">
        <v>150</v>
      </c>
      <c r="P9" s="4" t="inlineStr">
        <is>
          <t>1/2/2028</t>
        </is>
      </c>
      <c r="Q9" s="4" t="inlineStr">
        <is>
          <t>1/6/2028</t>
        </is>
      </c>
      <c r="R9" s="4" t="inlineStr">
        <is>
          <t>EmpirePrairie 5</t>
        </is>
      </c>
      <c r="S9" s="4" t="n">
        <v>17</v>
      </c>
      <c r="T9" s="8" t="n">
        <v>0.3571</v>
      </c>
      <c r="U9" s="4" t="n">
        <v>18</v>
      </c>
      <c r="V9" s="8" t="n">
        <v>0.5286999999999999</v>
      </c>
      <c r="W9" s="4" t="n">
        <v>16</v>
      </c>
      <c r="X9" s="8" t="n">
        <v>0.3357</v>
      </c>
      <c r="Y9" s="6" t="n">
        <v>5</v>
      </c>
      <c r="Z9" s="7" t="n">
        <v>0.1364</v>
      </c>
    </row>
    <row r="10">
      <c r="A10" s="4" t="n">
        <v>6</v>
      </c>
      <c r="B10" s="4" t="inlineStr">
        <is>
          <t>GEN-2023-033</t>
        </is>
      </c>
      <c r="C10" s="4" t="inlineStr">
        <is>
          <t>DISIS-2023-001</t>
        </is>
      </c>
      <c r="D10" s="4" t="inlineStr">
        <is>
          <t>Clay</t>
        </is>
      </c>
      <c r="E10" s="4" t="inlineStr">
        <is>
          <t>MO</t>
        </is>
      </c>
      <c r="F10" s="4" t="inlineStr">
        <is>
          <t>WERE</t>
        </is>
      </c>
      <c r="G10" s="4" t="n">
        <v>536</v>
      </c>
      <c r="H10" s="4" t="n">
        <v>541248</v>
      </c>
      <c r="I10" s="4" t="inlineStr">
        <is>
          <t>LBRTYST5</t>
        </is>
      </c>
      <c r="J10" s="4" t="n">
        <v>161</v>
      </c>
      <c r="K10" s="4" t="inlineStr">
        <is>
          <t>Liberty South 161 kV</t>
        </is>
      </c>
      <c r="L10" s="4" t="inlineStr">
        <is>
          <t>Battery/Storage</t>
        </is>
      </c>
      <c r="M10" s="4" t="inlineStr">
        <is>
          <t>ER/NR</t>
        </is>
      </c>
      <c r="N10" s="4" t="n">
        <v>200</v>
      </c>
      <c r="O10" s="4" t="n">
        <v>200</v>
      </c>
      <c r="P10" s="4" t="inlineStr">
        <is>
          <t>4/15/2028</t>
        </is>
      </c>
      <c r="Q10" s="4" t="inlineStr">
        <is>
          <t>1/7/2028</t>
        </is>
      </c>
      <c r="R10" s="4" t="inlineStr">
        <is>
          <t>EmpirePrairie 6</t>
        </is>
      </c>
      <c r="S10" s="4" t="n">
        <v>18</v>
      </c>
      <c r="T10" s="8" t="n">
        <v>0.3598</v>
      </c>
      <c r="U10" s="4" t="n">
        <v>19</v>
      </c>
      <c r="V10" s="8" t="n">
        <v>0.5314</v>
      </c>
      <c r="W10" s="4" t="n">
        <v>17</v>
      </c>
      <c r="X10" s="8" t="n">
        <v>0.3384</v>
      </c>
      <c r="Y10" s="6" t="n">
        <v>6</v>
      </c>
      <c r="Z10" s="7" t="n">
        <v>0.1391</v>
      </c>
    </row>
    <row r="12">
      <c r="B12" s="9" t="inlineStr">
        <is>
          <t>TOTAL</t>
        </is>
      </c>
      <c r="N12" s="9">
        <f>SUM(N5:N10)</f>
        <v/>
      </c>
      <c r="O12" s="9">
        <f>SUM(O5:O10)</f>
        <v/>
      </c>
    </row>
    <row r="13">
      <c r="B13" t="inlineStr">
        <is>
          <t>Not in reach: GEN-2023-170, GEN-2023-037, GEN-2023-034, GEN-2023-061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3" customWidth="1" min="4" max="4"/>
    <col width="6" customWidth="1" min="5" max="5"/>
    <col width="8" customWidth="1" min="6" max="6"/>
    <col width="9" customWidth="1" min="7" max="7"/>
    <col width="9" customWidth="1" min="8" max="8"/>
    <col width="12" customWidth="1" min="9" max="9"/>
    <col width="6" customWidth="1" min="10" max="10"/>
    <col width="26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3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Within 7 nodes of any study project -- 7 builds, 1400 MW</t>
        </is>
      </c>
    </row>
    <row r="2">
      <c r="A2" s="2" t="inlineStr">
        <is>
          <t>Green = within 7 nodes of that project.</t>
        </is>
      </c>
    </row>
    <row r="4" ht="45" customHeight="1">
      <c r="A4" s="5" t="inlineStr">
        <is>
          <t>#</t>
        </is>
      </c>
      <c r="B4" s="5" t="inlineStr">
        <is>
          <t>GEN number</t>
        </is>
      </c>
      <c r="C4" s="5" t="inlineStr">
        <is>
          <t>Cluster</t>
        </is>
      </c>
      <c r="D4" s="5" t="inlineStr">
        <is>
          <t>County</t>
        </is>
      </c>
      <c r="E4" s="5" t="inlineStr">
        <is>
          <t>State</t>
        </is>
      </c>
      <c r="F4" s="5" t="inlineStr">
        <is>
          <t>TO at POI</t>
        </is>
      </c>
      <c r="G4" s="5" t="inlineStr">
        <is>
          <t>Area (from TO)</t>
        </is>
      </c>
      <c r="H4" s="5" t="inlineStr">
        <is>
          <t>POI bus</t>
        </is>
      </c>
      <c r="I4" s="5" t="inlineStr">
        <is>
          <t>POI bus name</t>
        </is>
      </c>
      <c r="J4" s="5" t="inlineStr">
        <is>
          <t>kV</t>
        </is>
      </c>
      <c r="K4" s="5" t="inlineStr">
        <is>
          <t>Substation</t>
        </is>
      </c>
      <c r="L4" s="5" t="inlineStr">
        <is>
          <t>Generation type</t>
        </is>
      </c>
      <c r="M4" s="5" t="inlineStr">
        <is>
          <t>Service type</t>
        </is>
      </c>
      <c r="N4" s="5" t="inlineStr">
        <is>
          <t>Capacity MW</t>
        </is>
      </c>
      <c r="O4" s="5" t="inlineStr">
        <is>
          <t>Max summer MW</t>
        </is>
      </c>
      <c r="P4" s="5" t="inlineStr">
        <is>
          <t>In-service date</t>
        </is>
      </c>
      <c r="Q4" s="5" t="inlineStr">
        <is>
          <t>COD</t>
        </is>
      </c>
      <c r="R4" s="5" t="inlineStr">
        <is>
          <t>Near projects (nodes)</t>
        </is>
      </c>
      <c r="S4" s="5" t="inlineStr">
        <is>
          <t>SantaFe nodes</t>
        </is>
      </c>
      <c r="T4" s="5" t="inlineStr">
        <is>
          <t>SantaFe |Z| pu</t>
        </is>
      </c>
      <c r="U4" s="5" t="inlineStr">
        <is>
          <t>EastFork nodes</t>
        </is>
      </c>
      <c r="V4" s="5" t="inlineStr">
        <is>
          <t>EastFork |Z| pu</t>
        </is>
      </c>
      <c r="W4" s="5" t="inlineStr">
        <is>
          <t>IronStar nodes</t>
        </is>
      </c>
      <c r="X4" s="5" t="inlineStr">
        <is>
          <t>IronStar |Z| pu</t>
        </is>
      </c>
      <c r="Y4" s="5" t="inlineStr">
        <is>
          <t>EmpirePrairie nodes</t>
        </is>
      </c>
      <c r="Z4" s="5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n">
        <v>531449</v>
      </c>
      <c r="I5" s="4" t="inlineStr">
        <is>
          <t>HOLCOMB7</t>
        </is>
      </c>
      <c r="J5" s="4" t="n">
        <v>345</v>
      </c>
      <c r="K5" s="4" t="inlineStr">
        <is>
          <t>Holcomb 345 kV</t>
        </is>
      </c>
      <c r="L5" s="4" t="inlineStr">
        <is>
          <t>Wind</t>
        </is>
      </c>
      <c r="M5" s="4" t="inlineStr">
        <is>
          <t>ER/NR</t>
        </is>
      </c>
      <c r="N5" s="4" t="n">
        <v>100</v>
      </c>
      <c r="O5" s="4" t="n">
        <v>100</v>
      </c>
      <c r="P5" s="4" t="inlineStr">
        <is>
          <t>1/9/2027</t>
        </is>
      </c>
      <c r="Q5" s="4" t="inlineStr">
        <is>
          <t>12/31/2029</t>
        </is>
      </c>
      <c r="R5" s="4" t="inlineStr">
        <is>
          <t>SantaFe 2, EastFork 4, IronStar 5</t>
        </is>
      </c>
      <c r="S5" s="6" t="n">
        <v>2</v>
      </c>
      <c r="T5" s="7" t="n">
        <v>0.0234</v>
      </c>
      <c r="U5" s="6" t="n">
        <v>4</v>
      </c>
      <c r="V5" s="7" t="n">
        <v>0.16</v>
      </c>
      <c r="W5" s="6" t="n">
        <v>5</v>
      </c>
      <c r="X5" s="7" t="n">
        <v>0.0448</v>
      </c>
      <c r="Y5" s="4" t="n">
        <v>13</v>
      </c>
      <c r="Z5" s="8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n">
        <v>531449</v>
      </c>
      <c r="I6" s="4" t="inlineStr">
        <is>
          <t>HOLCOMB7</t>
        </is>
      </c>
      <c r="J6" s="4" t="n">
        <v>345</v>
      </c>
      <c r="K6" s="4" t="inlineStr">
        <is>
          <t>Holcomb 345 kV</t>
        </is>
      </c>
      <c r="L6" s="4" t="inlineStr">
        <is>
          <t>Wind</t>
        </is>
      </c>
      <c r="M6" s="4" t="inlineStr">
        <is>
          <t>ER/NR</t>
        </is>
      </c>
      <c r="N6" s="4" t="n">
        <v>200</v>
      </c>
      <c r="O6" s="4" t="n">
        <v>200</v>
      </c>
      <c r="P6" s="4" t="inlineStr">
        <is>
          <t>1/9/2027</t>
        </is>
      </c>
      <c r="Q6" s="4" t="inlineStr">
        <is>
          <t>12/31/2029</t>
        </is>
      </c>
      <c r="R6" s="4" t="inlineStr">
        <is>
          <t>SantaFe 2, EastFork 4, IronStar 5</t>
        </is>
      </c>
      <c r="S6" s="6" t="n">
        <v>2</v>
      </c>
      <c r="T6" s="7" t="n">
        <v>0.0234</v>
      </c>
      <c r="U6" s="6" t="n">
        <v>4</v>
      </c>
      <c r="V6" s="7" t="n">
        <v>0.16</v>
      </c>
      <c r="W6" s="6" t="n">
        <v>5</v>
      </c>
      <c r="X6" s="7" t="n">
        <v>0.0448</v>
      </c>
      <c r="Y6" s="4" t="n">
        <v>13</v>
      </c>
      <c r="Z6" s="8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n">
        <v>531465</v>
      </c>
      <c r="I7" s="4" t="inlineStr">
        <is>
          <t>SETAB  7</t>
        </is>
      </c>
      <c r="J7" s="4" t="n">
        <v>345</v>
      </c>
      <c r="K7" s="4" t="inlineStr">
        <is>
          <t>Setab 345 kV</t>
        </is>
      </c>
      <c r="L7" s="4" t="inlineStr">
        <is>
          <t>Wind</t>
        </is>
      </c>
      <c r="M7" s="4" t="inlineStr">
        <is>
          <t>ER</t>
        </is>
      </c>
      <c r="N7" s="4" t="n">
        <v>300</v>
      </c>
      <c r="O7" s="4" t="n">
        <v>300</v>
      </c>
      <c r="P7" s="4" t="inlineStr">
        <is>
          <t>1/5/2030</t>
        </is>
      </c>
      <c r="Q7" s="4" t="inlineStr">
        <is>
          <t>12/31/2030</t>
        </is>
      </c>
      <c r="R7" s="4" t="inlineStr">
        <is>
          <t>SantaFe 3, EastFork 3, IronStar 6</t>
        </is>
      </c>
      <c r="S7" s="6" t="n">
        <v>3</v>
      </c>
      <c r="T7" s="7" t="n">
        <v>0.0427</v>
      </c>
      <c r="U7" s="6" t="n">
        <v>3</v>
      </c>
      <c r="V7" s="7" t="n">
        <v>0.1407</v>
      </c>
      <c r="W7" s="6" t="n">
        <v>6</v>
      </c>
      <c r="X7" s="7" t="n">
        <v>0.0641</v>
      </c>
      <c r="Y7" s="4" t="n">
        <v>12</v>
      </c>
      <c r="Z7" s="8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n">
        <v>532766</v>
      </c>
      <c r="I8" s="4" t="inlineStr">
        <is>
          <t>JEC N  7</t>
        </is>
      </c>
      <c r="J8" s="4" t="n">
        <v>345</v>
      </c>
      <c r="K8" s="4" t="inlineStr">
        <is>
          <t>Jeffery Energy Center 345 kV</t>
        </is>
      </c>
      <c r="L8" s="4" t="inlineStr">
        <is>
          <t>Solar</t>
        </is>
      </c>
      <c r="M8" s="4" t="inlineStr">
        <is>
          <t>ER</t>
        </is>
      </c>
      <c r="N8" s="4" t="n">
        <v>300</v>
      </c>
      <c r="O8" s="4" t="n">
        <v>300</v>
      </c>
      <c r="P8" s="4" t="inlineStr">
        <is>
          <t>8/30/2030</t>
        </is>
      </c>
      <c r="Q8" s="4" t="inlineStr">
        <is>
          <t>12/31/2030</t>
        </is>
      </c>
      <c r="R8" s="4" t="inlineStr">
        <is>
          <t>EmpirePrairie 5</t>
        </is>
      </c>
      <c r="S8" s="4" t="n">
        <v>10</v>
      </c>
      <c r="T8" s="8" t="n">
        <v>0.1996</v>
      </c>
      <c r="U8" s="4" t="n">
        <v>15</v>
      </c>
      <c r="V8" s="8" t="n">
        <v>0.383</v>
      </c>
      <c r="W8" s="4" t="n">
        <v>8</v>
      </c>
      <c r="X8" s="8" t="n">
        <v>0.1782</v>
      </c>
      <c r="Y8" s="6" t="n">
        <v>5</v>
      </c>
      <c r="Z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n">
        <v>548814</v>
      </c>
      <c r="I9" s="4" t="inlineStr">
        <is>
          <t>SUB M-161</t>
        </is>
      </c>
      <c r="J9" s="4" t="n">
        <v>161</v>
      </c>
      <c r="K9" s="4" t="inlineStr">
        <is>
          <t>Sub M 161 kV</t>
        </is>
      </c>
      <c r="L9" s="4" t="inlineStr">
        <is>
          <t>Battery/Storage</t>
        </is>
      </c>
      <c r="M9" s="4" t="inlineStr">
        <is>
          <t>ER/NR</t>
        </is>
      </c>
      <c r="N9" s="4" t="n">
        <v>150</v>
      </c>
      <c r="O9" s="4" t="n">
        <v>150</v>
      </c>
      <c r="P9" s="4" t="inlineStr">
        <is>
          <t>1/2/2028</t>
        </is>
      </c>
      <c r="Q9" s="4" t="inlineStr">
        <is>
          <t>1/6/2028</t>
        </is>
      </c>
      <c r="R9" s="4" t="inlineStr">
        <is>
          <t>EmpirePrairie 5</t>
        </is>
      </c>
      <c r="S9" s="4" t="n">
        <v>17</v>
      </c>
      <c r="T9" s="8" t="n">
        <v>0.3571</v>
      </c>
      <c r="U9" s="4" t="n">
        <v>18</v>
      </c>
      <c r="V9" s="8" t="n">
        <v>0.5286999999999999</v>
      </c>
      <c r="W9" s="4" t="n">
        <v>16</v>
      </c>
      <c r="X9" s="8" t="n">
        <v>0.3357</v>
      </c>
      <c r="Y9" s="6" t="n">
        <v>5</v>
      </c>
      <c r="Z9" s="7" t="n">
        <v>0.1364</v>
      </c>
    </row>
    <row r="10">
      <c r="A10" s="4" t="n">
        <v>6</v>
      </c>
      <c r="B10" s="4" t="inlineStr">
        <is>
          <t>GEN-2023-033</t>
        </is>
      </c>
      <c r="C10" s="4" t="inlineStr">
        <is>
          <t>DISIS-2023-001</t>
        </is>
      </c>
      <c r="D10" s="4" t="inlineStr">
        <is>
          <t>Clay</t>
        </is>
      </c>
      <c r="E10" s="4" t="inlineStr">
        <is>
          <t>MO</t>
        </is>
      </c>
      <c r="F10" s="4" t="inlineStr">
        <is>
          <t>WERE</t>
        </is>
      </c>
      <c r="G10" s="4" t="n">
        <v>536</v>
      </c>
      <c r="H10" s="4" t="n">
        <v>541248</v>
      </c>
      <c r="I10" s="4" t="inlineStr">
        <is>
          <t>LBRTYST5</t>
        </is>
      </c>
      <c r="J10" s="4" t="n">
        <v>161</v>
      </c>
      <c r="K10" s="4" t="inlineStr">
        <is>
          <t>Liberty South 161 kV</t>
        </is>
      </c>
      <c r="L10" s="4" t="inlineStr">
        <is>
          <t>Battery/Storage</t>
        </is>
      </c>
      <c r="M10" s="4" t="inlineStr">
        <is>
          <t>ER/NR</t>
        </is>
      </c>
      <c r="N10" s="4" t="n">
        <v>200</v>
      </c>
      <c r="O10" s="4" t="n">
        <v>200</v>
      </c>
      <c r="P10" s="4" t="inlineStr">
        <is>
          <t>4/15/2028</t>
        </is>
      </c>
      <c r="Q10" s="4" t="inlineStr">
        <is>
          <t>1/7/2028</t>
        </is>
      </c>
      <c r="R10" s="4" t="inlineStr">
        <is>
          <t>EmpirePrairie 6</t>
        </is>
      </c>
      <c r="S10" s="4" t="n">
        <v>18</v>
      </c>
      <c r="T10" s="8" t="n">
        <v>0.3598</v>
      </c>
      <c r="U10" s="4" t="n">
        <v>19</v>
      </c>
      <c r="V10" s="8" t="n">
        <v>0.5314</v>
      </c>
      <c r="W10" s="4" t="n">
        <v>17</v>
      </c>
      <c r="X10" s="8" t="n">
        <v>0.3384</v>
      </c>
      <c r="Y10" s="6" t="n">
        <v>6</v>
      </c>
      <c r="Z10" s="7" t="n">
        <v>0.1391</v>
      </c>
    </row>
    <row r="11">
      <c r="A11" s="4" t="n">
        <v>7</v>
      </c>
      <c r="B11" s="4" t="inlineStr">
        <is>
          <t>GEN-2023-170</t>
        </is>
      </c>
      <c r="C11" s="4" t="inlineStr">
        <is>
          <t>DISIS-2023-001</t>
        </is>
      </c>
      <c r="D11" s="4" t="inlineStr">
        <is>
          <t>Chariton</t>
        </is>
      </c>
      <c r="E11" s="4" t="inlineStr">
        <is>
          <t>MO</t>
        </is>
      </c>
      <c r="F11" s="4" t="inlineStr">
        <is>
          <t>WERE</t>
        </is>
      </c>
      <c r="G11" s="4" t="n">
        <v>536</v>
      </c>
      <c r="H11" s="4" t="n">
        <v>543062</v>
      </c>
      <c r="I11" s="4" t="inlineStr">
        <is>
          <t>SALSBRY5</t>
        </is>
      </c>
      <c r="J11" s="4" t="n">
        <v>161</v>
      </c>
      <c r="K11" s="4" t="inlineStr">
        <is>
          <t>Salisbury 161 kV</t>
        </is>
      </c>
      <c r="L11" s="4" t="inlineStr">
        <is>
          <t>Battery/Storage</t>
        </is>
      </c>
      <c r="M11" s="4" t="inlineStr">
        <is>
          <t>ER</t>
        </is>
      </c>
      <c r="N11" s="4" t="n">
        <v>150</v>
      </c>
      <c r="O11" s="4" t="n">
        <v>150</v>
      </c>
      <c r="P11" s="4" t="inlineStr">
        <is>
          <t>1/2/2028</t>
        </is>
      </c>
      <c r="Q11" s="4" t="inlineStr">
        <is>
          <t>1/6/2028</t>
        </is>
      </c>
      <c r="R11" s="4" t="inlineStr">
        <is>
          <t>EmpirePrairie 7</t>
        </is>
      </c>
      <c r="S11" s="4" t="n">
        <v>18</v>
      </c>
      <c r="T11" s="8" t="n">
        <v>0.381</v>
      </c>
      <c r="U11" s="4" t="n">
        <v>20</v>
      </c>
      <c r="V11" s="8" t="n">
        <v>0.5643</v>
      </c>
      <c r="W11" s="4" t="n">
        <v>16</v>
      </c>
      <c r="X11" s="8" t="n">
        <v>0.3596</v>
      </c>
      <c r="Y11" s="6" t="n">
        <v>7</v>
      </c>
      <c r="Z11" s="7" t="n">
        <v>0.1798</v>
      </c>
    </row>
    <row r="13">
      <c r="B13" s="9" t="inlineStr">
        <is>
          <t>TOTAL</t>
        </is>
      </c>
      <c r="N13" s="9">
        <f>SUM(N5:N11)</f>
        <v/>
      </c>
      <c r="O13" s="9">
        <f>SUM(O5:O11)</f>
        <v/>
      </c>
    </row>
    <row r="14">
      <c r="B14" t="inlineStr">
        <is>
          <t>Not in reach: GEN-2023-037, GEN-2023-034, GEN-2023-061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3" customWidth="1" min="4" max="4"/>
    <col width="6" customWidth="1" min="5" max="5"/>
    <col width="8" customWidth="1" min="6" max="6"/>
    <col width="9" customWidth="1" min="7" max="7"/>
    <col width="9" customWidth="1" min="8" max="8"/>
    <col width="12" customWidth="1" min="9" max="9"/>
    <col width="6" customWidth="1" min="10" max="10"/>
    <col width="26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3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Within 8 nodes of any study project -- 7 builds, 1400 MW</t>
        </is>
      </c>
    </row>
    <row r="2">
      <c r="A2" s="2" t="inlineStr">
        <is>
          <t>Green = within 8 nodes of that project.</t>
        </is>
      </c>
    </row>
    <row r="4" ht="45" customHeight="1">
      <c r="A4" s="5" t="inlineStr">
        <is>
          <t>#</t>
        </is>
      </c>
      <c r="B4" s="5" t="inlineStr">
        <is>
          <t>GEN number</t>
        </is>
      </c>
      <c r="C4" s="5" t="inlineStr">
        <is>
          <t>Cluster</t>
        </is>
      </c>
      <c r="D4" s="5" t="inlineStr">
        <is>
          <t>County</t>
        </is>
      </c>
      <c r="E4" s="5" t="inlineStr">
        <is>
          <t>State</t>
        </is>
      </c>
      <c r="F4" s="5" t="inlineStr">
        <is>
          <t>TO at POI</t>
        </is>
      </c>
      <c r="G4" s="5" t="inlineStr">
        <is>
          <t>Area (from TO)</t>
        </is>
      </c>
      <c r="H4" s="5" t="inlineStr">
        <is>
          <t>POI bus</t>
        </is>
      </c>
      <c r="I4" s="5" t="inlineStr">
        <is>
          <t>POI bus name</t>
        </is>
      </c>
      <c r="J4" s="5" t="inlineStr">
        <is>
          <t>kV</t>
        </is>
      </c>
      <c r="K4" s="5" t="inlineStr">
        <is>
          <t>Substation</t>
        </is>
      </c>
      <c r="L4" s="5" t="inlineStr">
        <is>
          <t>Generation type</t>
        </is>
      </c>
      <c r="M4" s="5" t="inlineStr">
        <is>
          <t>Service type</t>
        </is>
      </c>
      <c r="N4" s="5" t="inlineStr">
        <is>
          <t>Capacity MW</t>
        </is>
      </c>
      <c r="O4" s="5" t="inlineStr">
        <is>
          <t>Max summer MW</t>
        </is>
      </c>
      <c r="P4" s="5" t="inlineStr">
        <is>
          <t>In-service date</t>
        </is>
      </c>
      <c r="Q4" s="5" t="inlineStr">
        <is>
          <t>COD</t>
        </is>
      </c>
      <c r="R4" s="5" t="inlineStr">
        <is>
          <t>Near projects (nodes)</t>
        </is>
      </c>
      <c r="S4" s="5" t="inlineStr">
        <is>
          <t>SantaFe nodes</t>
        </is>
      </c>
      <c r="T4" s="5" t="inlineStr">
        <is>
          <t>SantaFe |Z| pu</t>
        </is>
      </c>
      <c r="U4" s="5" t="inlineStr">
        <is>
          <t>EastFork nodes</t>
        </is>
      </c>
      <c r="V4" s="5" t="inlineStr">
        <is>
          <t>EastFork |Z| pu</t>
        </is>
      </c>
      <c r="W4" s="5" t="inlineStr">
        <is>
          <t>IronStar nodes</t>
        </is>
      </c>
      <c r="X4" s="5" t="inlineStr">
        <is>
          <t>IronStar |Z| pu</t>
        </is>
      </c>
      <c r="Y4" s="5" t="inlineStr">
        <is>
          <t>EmpirePrairie nodes</t>
        </is>
      </c>
      <c r="Z4" s="5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n">
        <v>531449</v>
      </c>
      <c r="I5" s="4" t="inlineStr">
        <is>
          <t>HOLCOMB7</t>
        </is>
      </c>
      <c r="J5" s="4" t="n">
        <v>345</v>
      </c>
      <c r="K5" s="4" t="inlineStr">
        <is>
          <t>Holcomb 345 kV</t>
        </is>
      </c>
      <c r="L5" s="4" t="inlineStr">
        <is>
          <t>Wind</t>
        </is>
      </c>
      <c r="M5" s="4" t="inlineStr">
        <is>
          <t>ER/NR</t>
        </is>
      </c>
      <c r="N5" s="4" t="n">
        <v>100</v>
      </c>
      <c r="O5" s="4" t="n">
        <v>100</v>
      </c>
      <c r="P5" s="4" t="inlineStr">
        <is>
          <t>1/9/2027</t>
        </is>
      </c>
      <c r="Q5" s="4" t="inlineStr">
        <is>
          <t>12/31/2029</t>
        </is>
      </c>
      <c r="R5" s="4" t="inlineStr">
        <is>
          <t>SantaFe 2, EastFork 4, IronStar 5</t>
        </is>
      </c>
      <c r="S5" s="6" t="n">
        <v>2</v>
      </c>
      <c r="T5" s="7" t="n">
        <v>0.0234</v>
      </c>
      <c r="U5" s="6" t="n">
        <v>4</v>
      </c>
      <c r="V5" s="7" t="n">
        <v>0.16</v>
      </c>
      <c r="W5" s="6" t="n">
        <v>5</v>
      </c>
      <c r="X5" s="7" t="n">
        <v>0.0448</v>
      </c>
      <c r="Y5" s="4" t="n">
        <v>13</v>
      </c>
      <c r="Z5" s="8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n">
        <v>531449</v>
      </c>
      <c r="I6" s="4" t="inlineStr">
        <is>
          <t>HOLCOMB7</t>
        </is>
      </c>
      <c r="J6" s="4" t="n">
        <v>345</v>
      </c>
      <c r="K6" s="4" t="inlineStr">
        <is>
          <t>Holcomb 345 kV</t>
        </is>
      </c>
      <c r="L6" s="4" t="inlineStr">
        <is>
          <t>Wind</t>
        </is>
      </c>
      <c r="M6" s="4" t="inlineStr">
        <is>
          <t>ER/NR</t>
        </is>
      </c>
      <c r="N6" s="4" t="n">
        <v>200</v>
      </c>
      <c r="O6" s="4" t="n">
        <v>200</v>
      </c>
      <c r="P6" s="4" t="inlineStr">
        <is>
          <t>1/9/2027</t>
        </is>
      </c>
      <c r="Q6" s="4" t="inlineStr">
        <is>
          <t>12/31/2029</t>
        </is>
      </c>
      <c r="R6" s="4" t="inlineStr">
        <is>
          <t>SantaFe 2, EastFork 4, IronStar 5</t>
        </is>
      </c>
      <c r="S6" s="6" t="n">
        <v>2</v>
      </c>
      <c r="T6" s="7" t="n">
        <v>0.0234</v>
      </c>
      <c r="U6" s="6" t="n">
        <v>4</v>
      </c>
      <c r="V6" s="7" t="n">
        <v>0.16</v>
      </c>
      <c r="W6" s="6" t="n">
        <v>5</v>
      </c>
      <c r="X6" s="7" t="n">
        <v>0.0448</v>
      </c>
      <c r="Y6" s="4" t="n">
        <v>13</v>
      </c>
      <c r="Z6" s="8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n">
        <v>531465</v>
      </c>
      <c r="I7" s="4" t="inlineStr">
        <is>
          <t>SETAB  7</t>
        </is>
      </c>
      <c r="J7" s="4" t="n">
        <v>345</v>
      </c>
      <c r="K7" s="4" t="inlineStr">
        <is>
          <t>Setab 345 kV</t>
        </is>
      </c>
      <c r="L7" s="4" t="inlineStr">
        <is>
          <t>Wind</t>
        </is>
      </c>
      <c r="M7" s="4" t="inlineStr">
        <is>
          <t>ER</t>
        </is>
      </c>
      <c r="N7" s="4" t="n">
        <v>300</v>
      </c>
      <c r="O7" s="4" t="n">
        <v>300</v>
      </c>
      <c r="P7" s="4" t="inlineStr">
        <is>
          <t>1/5/2030</t>
        </is>
      </c>
      <c r="Q7" s="4" t="inlineStr">
        <is>
          <t>12/31/2030</t>
        </is>
      </c>
      <c r="R7" s="4" t="inlineStr">
        <is>
          <t>SantaFe 3, EastFork 3, IronStar 6</t>
        </is>
      </c>
      <c r="S7" s="6" t="n">
        <v>3</v>
      </c>
      <c r="T7" s="7" t="n">
        <v>0.0427</v>
      </c>
      <c r="U7" s="6" t="n">
        <v>3</v>
      </c>
      <c r="V7" s="7" t="n">
        <v>0.1407</v>
      </c>
      <c r="W7" s="6" t="n">
        <v>6</v>
      </c>
      <c r="X7" s="7" t="n">
        <v>0.0641</v>
      </c>
      <c r="Y7" s="4" t="n">
        <v>12</v>
      </c>
      <c r="Z7" s="8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n">
        <v>532766</v>
      </c>
      <c r="I8" s="4" t="inlineStr">
        <is>
          <t>JEC N  7</t>
        </is>
      </c>
      <c r="J8" s="4" t="n">
        <v>345</v>
      </c>
      <c r="K8" s="4" t="inlineStr">
        <is>
          <t>Jeffery Energy Center 345 kV</t>
        </is>
      </c>
      <c r="L8" s="4" t="inlineStr">
        <is>
          <t>Solar</t>
        </is>
      </c>
      <c r="M8" s="4" t="inlineStr">
        <is>
          <t>ER</t>
        </is>
      </c>
      <c r="N8" s="4" t="n">
        <v>300</v>
      </c>
      <c r="O8" s="4" t="n">
        <v>300</v>
      </c>
      <c r="P8" s="4" t="inlineStr">
        <is>
          <t>8/30/2030</t>
        </is>
      </c>
      <c r="Q8" s="4" t="inlineStr">
        <is>
          <t>12/31/2030</t>
        </is>
      </c>
      <c r="R8" s="4" t="inlineStr">
        <is>
          <t>IronStar 8, EmpirePrairie 5</t>
        </is>
      </c>
      <c r="S8" s="4" t="n">
        <v>10</v>
      </c>
      <c r="T8" s="8" t="n">
        <v>0.1996</v>
      </c>
      <c r="U8" s="4" t="n">
        <v>15</v>
      </c>
      <c r="V8" s="8" t="n">
        <v>0.383</v>
      </c>
      <c r="W8" s="6" t="n">
        <v>8</v>
      </c>
      <c r="X8" s="7" t="n">
        <v>0.1782</v>
      </c>
      <c r="Y8" s="6" t="n">
        <v>5</v>
      </c>
      <c r="Z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n">
        <v>548814</v>
      </c>
      <c r="I9" s="4" t="inlineStr">
        <is>
          <t>SUB M-161</t>
        </is>
      </c>
      <c r="J9" s="4" t="n">
        <v>161</v>
      </c>
      <c r="K9" s="4" t="inlineStr">
        <is>
          <t>Sub M 161 kV</t>
        </is>
      </c>
      <c r="L9" s="4" t="inlineStr">
        <is>
          <t>Battery/Storage</t>
        </is>
      </c>
      <c r="M9" s="4" t="inlineStr">
        <is>
          <t>ER/NR</t>
        </is>
      </c>
      <c r="N9" s="4" t="n">
        <v>150</v>
      </c>
      <c r="O9" s="4" t="n">
        <v>150</v>
      </c>
      <c r="P9" s="4" t="inlineStr">
        <is>
          <t>1/2/2028</t>
        </is>
      </c>
      <c r="Q9" s="4" t="inlineStr">
        <is>
          <t>1/6/2028</t>
        </is>
      </c>
      <c r="R9" s="4" t="inlineStr">
        <is>
          <t>EmpirePrairie 5</t>
        </is>
      </c>
      <c r="S9" s="4" t="n">
        <v>17</v>
      </c>
      <c r="T9" s="8" t="n">
        <v>0.3571</v>
      </c>
      <c r="U9" s="4" t="n">
        <v>18</v>
      </c>
      <c r="V9" s="8" t="n">
        <v>0.5286999999999999</v>
      </c>
      <c r="W9" s="4" t="n">
        <v>16</v>
      </c>
      <c r="X9" s="8" t="n">
        <v>0.3357</v>
      </c>
      <c r="Y9" s="6" t="n">
        <v>5</v>
      </c>
      <c r="Z9" s="7" t="n">
        <v>0.1364</v>
      </c>
    </row>
    <row r="10">
      <c r="A10" s="4" t="n">
        <v>6</v>
      </c>
      <c r="B10" s="4" t="inlineStr">
        <is>
          <t>GEN-2023-033</t>
        </is>
      </c>
      <c r="C10" s="4" t="inlineStr">
        <is>
          <t>DISIS-2023-001</t>
        </is>
      </c>
      <c r="D10" s="4" t="inlineStr">
        <is>
          <t>Clay</t>
        </is>
      </c>
      <c r="E10" s="4" t="inlineStr">
        <is>
          <t>MO</t>
        </is>
      </c>
      <c r="F10" s="4" t="inlineStr">
        <is>
          <t>WERE</t>
        </is>
      </c>
      <c r="G10" s="4" t="n">
        <v>536</v>
      </c>
      <c r="H10" s="4" t="n">
        <v>541248</v>
      </c>
      <c r="I10" s="4" t="inlineStr">
        <is>
          <t>LBRTYST5</t>
        </is>
      </c>
      <c r="J10" s="4" t="n">
        <v>161</v>
      </c>
      <c r="K10" s="4" t="inlineStr">
        <is>
          <t>Liberty South 161 kV</t>
        </is>
      </c>
      <c r="L10" s="4" t="inlineStr">
        <is>
          <t>Battery/Storage</t>
        </is>
      </c>
      <c r="M10" s="4" t="inlineStr">
        <is>
          <t>ER/NR</t>
        </is>
      </c>
      <c r="N10" s="4" t="n">
        <v>200</v>
      </c>
      <c r="O10" s="4" t="n">
        <v>200</v>
      </c>
      <c r="P10" s="4" t="inlineStr">
        <is>
          <t>4/15/2028</t>
        </is>
      </c>
      <c r="Q10" s="4" t="inlineStr">
        <is>
          <t>1/7/2028</t>
        </is>
      </c>
      <c r="R10" s="4" t="inlineStr">
        <is>
          <t>EmpirePrairie 6</t>
        </is>
      </c>
      <c r="S10" s="4" t="n">
        <v>18</v>
      </c>
      <c r="T10" s="8" t="n">
        <v>0.3598</v>
      </c>
      <c r="U10" s="4" t="n">
        <v>19</v>
      </c>
      <c r="V10" s="8" t="n">
        <v>0.5314</v>
      </c>
      <c r="W10" s="4" t="n">
        <v>17</v>
      </c>
      <c r="X10" s="8" t="n">
        <v>0.3384</v>
      </c>
      <c r="Y10" s="6" t="n">
        <v>6</v>
      </c>
      <c r="Z10" s="7" t="n">
        <v>0.1391</v>
      </c>
    </row>
    <row r="11">
      <c r="A11" s="4" t="n">
        <v>7</v>
      </c>
      <c r="B11" s="4" t="inlineStr">
        <is>
          <t>GEN-2023-170</t>
        </is>
      </c>
      <c r="C11" s="4" t="inlineStr">
        <is>
          <t>DISIS-2023-001</t>
        </is>
      </c>
      <c r="D11" s="4" t="inlineStr">
        <is>
          <t>Chariton</t>
        </is>
      </c>
      <c r="E11" s="4" t="inlineStr">
        <is>
          <t>MO</t>
        </is>
      </c>
      <c r="F11" s="4" t="inlineStr">
        <is>
          <t>WERE</t>
        </is>
      </c>
      <c r="G11" s="4" t="n">
        <v>536</v>
      </c>
      <c r="H11" s="4" t="n">
        <v>543062</v>
      </c>
      <c r="I11" s="4" t="inlineStr">
        <is>
          <t>SALSBRY5</t>
        </is>
      </c>
      <c r="J11" s="4" t="n">
        <v>161</v>
      </c>
      <c r="K11" s="4" t="inlineStr">
        <is>
          <t>Salisbury 161 kV</t>
        </is>
      </c>
      <c r="L11" s="4" t="inlineStr">
        <is>
          <t>Battery/Storage</t>
        </is>
      </c>
      <c r="M11" s="4" t="inlineStr">
        <is>
          <t>ER</t>
        </is>
      </c>
      <c r="N11" s="4" t="n">
        <v>150</v>
      </c>
      <c r="O11" s="4" t="n">
        <v>150</v>
      </c>
      <c r="P11" s="4" t="inlineStr">
        <is>
          <t>1/2/2028</t>
        </is>
      </c>
      <c r="Q11" s="4" t="inlineStr">
        <is>
          <t>1/6/2028</t>
        </is>
      </c>
      <c r="R11" s="4" t="inlineStr">
        <is>
          <t>EmpirePrairie 7</t>
        </is>
      </c>
      <c r="S11" s="4" t="n">
        <v>18</v>
      </c>
      <c r="T11" s="8" t="n">
        <v>0.381</v>
      </c>
      <c r="U11" s="4" t="n">
        <v>20</v>
      </c>
      <c r="V11" s="8" t="n">
        <v>0.5643</v>
      </c>
      <c r="W11" s="4" t="n">
        <v>16</v>
      </c>
      <c r="X11" s="8" t="n">
        <v>0.3596</v>
      </c>
      <c r="Y11" s="6" t="n">
        <v>7</v>
      </c>
      <c r="Z11" s="7" t="n">
        <v>0.1798</v>
      </c>
    </row>
    <row r="13">
      <c r="B13" s="9" t="inlineStr">
        <is>
          <t>TOTAL</t>
        </is>
      </c>
      <c r="N13" s="9">
        <f>SUM(N5:N11)</f>
        <v/>
      </c>
      <c r="O13" s="9">
        <f>SUM(O5:O11)</f>
        <v/>
      </c>
    </row>
    <row r="14">
      <c r="B14" t="inlineStr">
        <is>
          <t>Not in reach: GEN-2023-037, GEN-2023-034, GEN-2023-061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3" customWidth="1" min="4" max="4"/>
    <col width="6" customWidth="1" min="5" max="5"/>
    <col width="8" customWidth="1" min="6" max="6"/>
    <col width="9" customWidth="1" min="7" max="7"/>
    <col width="9" customWidth="1" min="8" max="8"/>
    <col width="12" customWidth="1" min="9" max="9"/>
    <col width="6" customWidth="1" min="10" max="10"/>
    <col width="26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3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All 10 Table 5 builds -- distance from each study POI</t>
        </is>
      </c>
    </row>
    <row r="4" ht="45" customHeight="1">
      <c r="A4" s="5" t="inlineStr">
        <is>
          <t>#</t>
        </is>
      </c>
      <c r="B4" s="5" t="inlineStr">
        <is>
          <t>GEN number</t>
        </is>
      </c>
      <c r="C4" s="5" t="inlineStr">
        <is>
          <t>Cluster</t>
        </is>
      </c>
      <c r="D4" s="5" t="inlineStr">
        <is>
          <t>County</t>
        </is>
      </c>
      <c r="E4" s="5" t="inlineStr">
        <is>
          <t>State</t>
        </is>
      </c>
      <c r="F4" s="5" t="inlineStr">
        <is>
          <t>TO at POI</t>
        </is>
      </c>
      <c r="G4" s="5" t="inlineStr">
        <is>
          <t>Area (from TO)</t>
        </is>
      </c>
      <c r="H4" s="5" t="inlineStr">
        <is>
          <t>POI bus</t>
        </is>
      </c>
      <c r="I4" s="5" t="inlineStr">
        <is>
          <t>POI bus name</t>
        </is>
      </c>
      <c r="J4" s="5" t="inlineStr">
        <is>
          <t>kV</t>
        </is>
      </c>
      <c r="K4" s="5" t="inlineStr">
        <is>
          <t>Substation</t>
        </is>
      </c>
      <c r="L4" s="5" t="inlineStr">
        <is>
          <t>Generation type</t>
        </is>
      </c>
      <c r="M4" s="5" t="inlineStr">
        <is>
          <t>Service type</t>
        </is>
      </c>
      <c r="N4" s="5" t="inlineStr">
        <is>
          <t>Capacity MW</t>
        </is>
      </c>
      <c r="O4" s="5" t="inlineStr">
        <is>
          <t>Max summer MW</t>
        </is>
      </c>
      <c r="P4" s="5" t="inlineStr">
        <is>
          <t>In-service date</t>
        </is>
      </c>
      <c r="Q4" s="5" t="inlineStr">
        <is>
          <t>COD</t>
        </is>
      </c>
      <c r="R4" s="5" t="inlineStr">
        <is>
          <t>Near projects (nodes)</t>
        </is>
      </c>
      <c r="S4" s="5" t="inlineStr">
        <is>
          <t>SantaFe nodes</t>
        </is>
      </c>
      <c r="T4" s="5" t="inlineStr">
        <is>
          <t>SantaFe |Z| pu</t>
        </is>
      </c>
      <c r="U4" s="5" t="inlineStr">
        <is>
          <t>EastFork nodes</t>
        </is>
      </c>
      <c r="V4" s="5" t="inlineStr">
        <is>
          <t>EastFork |Z| pu</t>
        </is>
      </c>
      <c r="W4" s="5" t="inlineStr">
        <is>
          <t>IronStar nodes</t>
        </is>
      </c>
      <c r="X4" s="5" t="inlineStr">
        <is>
          <t>IronStar |Z| pu</t>
        </is>
      </c>
      <c r="Y4" s="5" t="inlineStr">
        <is>
          <t>EmpirePrairie nodes</t>
        </is>
      </c>
      <c r="Z4" s="5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n">
        <v>531449</v>
      </c>
      <c r="I5" s="4" t="inlineStr">
        <is>
          <t>HOLCOMB7</t>
        </is>
      </c>
      <c r="J5" s="4" t="n">
        <v>345</v>
      </c>
      <c r="K5" s="4" t="inlineStr">
        <is>
          <t>Holcomb 345 kV</t>
        </is>
      </c>
      <c r="L5" s="4" t="inlineStr">
        <is>
          <t>Wind</t>
        </is>
      </c>
      <c r="M5" s="4" t="inlineStr">
        <is>
          <t>ER/NR</t>
        </is>
      </c>
      <c r="N5" s="4" t="n">
        <v>100</v>
      </c>
      <c r="O5" s="4" t="n">
        <v>100</v>
      </c>
      <c r="P5" s="4" t="inlineStr">
        <is>
          <t>1/9/2027</t>
        </is>
      </c>
      <c r="Q5" s="4" t="inlineStr">
        <is>
          <t>12/31/2029</t>
        </is>
      </c>
      <c r="R5" s="4" t="inlineStr">
        <is>
          <t>SantaFe 2, EastFork 4, IronStar 5</t>
        </is>
      </c>
      <c r="S5" s="6" t="n">
        <v>2</v>
      </c>
      <c r="T5" s="7" t="n">
        <v>0.0234</v>
      </c>
      <c r="U5" s="6" t="n">
        <v>4</v>
      </c>
      <c r="V5" s="7" t="n">
        <v>0.16</v>
      </c>
      <c r="W5" s="6" t="n">
        <v>5</v>
      </c>
      <c r="X5" s="7" t="n">
        <v>0.0448</v>
      </c>
      <c r="Y5" s="4" t="n">
        <v>13</v>
      </c>
      <c r="Z5" s="8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n">
        <v>531449</v>
      </c>
      <c r="I6" s="4" t="inlineStr">
        <is>
          <t>HOLCOMB7</t>
        </is>
      </c>
      <c r="J6" s="4" t="n">
        <v>345</v>
      </c>
      <c r="K6" s="4" t="inlineStr">
        <is>
          <t>Holcomb 345 kV</t>
        </is>
      </c>
      <c r="L6" s="4" t="inlineStr">
        <is>
          <t>Wind</t>
        </is>
      </c>
      <c r="M6" s="4" t="inlineStr">
        <is>
          <t>ER/NR</t>
        </is>
      </c>
      <c r="N6" s="4" t="n">
        <v>200</v>
      </c>
      <c r="O6" s="4" t="n">
        <v>200</v>
      </c>
      <c r="P6" s="4" t="inlineStr">
        <is>
          <t>1/9/2027</t>
        </is>
      </c>
      <c r="Q6" s="4" t="inlineStr">
        <is>
          <t>12/31/2029</t>
        </is>
      </c>
      <c r="R6" s="4" t="inlineStr">
        <is>
          <t>SantaFe 2, EastFork 4, IronStar 5</t>
        </is>
      </c>
      <c r="S6" s="6" t="n">
        <v>2</v>
      </c>
      <c r="T6" s="7" t="n">
        <v>0.0234</v>
      </c>
      <c r="U6" s="6" t="n">
        <v>4</v>
      </c>
      <c r="V6" s="7" t="n">
        <v>0.16</v>
      </c>
      <c r="W6" s="6" t="n">
        <v>5</v>
      </c>
      <c r="X6" s="7" t="n">
        <v>0.0448</v>
      </c>
      <c r="Y6" s="4" t="n">
        <v>13</v>
      </c>
      <c r="Z6" s="8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n">
        <v>531465</v>
      </c>
      <c r="I7" s="4" t="inlineStr">
        <is>
          <t>SETAB  7</t>
        </is>
      </c>
      <c r="J7" s="4" t="n">
        <v>345</v>
      </c>
      <c r="K7" s="4" t="inlineStr">
        <is>
          <t>Setab 345 kV</t>
        </is>
      </c>
      <c r="L7" s="4" t="inlineStr">
        <is>
          <t>Wind</t>
        </is>
      </c>
      <c r="M7" s="4" t="inlineStr">
        <is>
          <t>ER</t>
        </is>
      </c>
      <c r="N7" s="4" t="n">
        <v>300</v>
      </c>
      <c r="O7" s="4" t="n">
        <v>300</v>
      </c>
      <c r="P7" s="4" t="inlineStr">
        <is>
          <t>1/5/2030</t>
        </is>
      </c>
      <c r="Q7" s="4" t="inlineStr">
        <is>
          <t>12/31/2030</t>
        </is>
      </c>
      <c r="R7" s="4" t="inlineStr">
        <is>
          <t>SantaFe 3, EastFork 3, IronStar 6</t>
        </is>
      </c>
      <c r="S7" s="6" t="n">
        <v>3</v>
      </c>
      <c r="T7" s="7" t="n">
        <v>0.0427</v>
      </c>
      <c r="U7" s="6" t="n">
        <v>3</v>
      </c>
      <c r="V7" s="7" t="n">
        <v>0.1407</v>
      </c>
      <c r="W7" s="6" t="n">
        <v>6</v>
      </c>
      <c r="X7" s="7" t="n">
        <v>0.0641</v>
      </c>
      <c r="Y7" s="4" t="n">
        <v>12</v>
      </c>
      <c r="Z7" s="8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n">
        <v>532766</v>
      </c>
      <c r="I8" s="4" t="inlineStr">
        <is>
          <t>JEC N  7</t>
        </is>
      </c>
      <c r="J8" s="4" t="n">
        <v>345</v>
      </c>
      <c r="K8" s="4" t="inlineStr">
        <is>
          <t>Jeffery Energy Center 345 kV</t>
        </is>
      </c>
      <c r="L8" s="4" t="inlineStr">
        <is>
          <t>Solar</t>
        </is>
      </c>
      <c r="M8" s="4" t="inlineStr">
        <is>
          <t>ER</t>
        </is>
      </c>
      <c r="N8" s="4" t="n">
        <v>300</v>
      </c>
      <c r="O8" s="4" t="n">
        <v>300</v>
      </c>
      <c r="P8" s="4" t="inlineStr">
        <is>
          <t>8/30/2030</t>
        </is>
      </c>
      <c r="Q8" s="4" t="inlineStr">
        <is>
          <t>12/31/2030</t>
        </is>
      </c>
      <c r="R8" s="4" t="inlineStr">
        <is>
          <t>IronStar 8, EmpirePrairie 5</t>
        </is>
      </c>
      <c r="S8" s="4" t="n">
        <v>10</v>
      </c>
      <c r="T8" s="8" t="n">
        <v>0.1996</v>
      </c>
      <c r="U8" s="4" t="n">
        <v>15</v>
      </c>
      <c r="V8" s="8" t="n">
        <v>0.383</v>
      </c>
      <c r="W8" s="6" t="n">
        <v>8</v>
      </c>
      <c r="X8" s="7" t="n">
        <v>0.1782</v>
      </c>
      <c r="Y8" s="6" t="n">
        <v>5</v>
      </c>
      <c r="Z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n">
        <v>548814</v>
      </c>
      <c r="I9" s="4" t="inlineStr">
        <is>
          <t>SUB M-161</t>
        </is>
      </c>
      <c r="J9" s="4" t="n">
        <v>161</v>
      </c>
      <c r="K9" s="4" t="inlineStr">
        <is>
          <t>Sub M 161 kV</t>
        </is>
      </c>
      <c r="L9" s="4" t="inlineStr">
        <is>
          <t>Battery/Storage</t>
        </is>
      </c>
      <c r="M9" s="4" t="inlineStr">
        <is>
          <t>ER/NR</t>
        </is>
      </c>
      <c r="N9" s="4" t="n">
        <v>150</v>
      </c>
      <c r="O9" s="4" t="n">
        <v>150</v>
      </c>
      <c r="P9" s="4" t="inlineStr">
        <is>
          <t>1/2/2028</t>
        </is>
      </c>
      <c r="Q9" s="4" t="inlineStr">
        <is>
          <t>1/6/2028</t>
        </is>
      </c>
      <c r="R9" s="4" t="inlineStr">
        <is>
          <t>EmpirePrairie 5</t>
        </is>
      </c>
      <c r="S9" s="4" t="n">
        <v>17</v>
      </c>
      <c r="T9" s="8" t="n">
        <v>0.3571</v>
      </c>
      <c r="U9" s="4" t="n">
        <v>18</v>
      </c>
      <c r="V9" s="8" t="n">
        <v>0.5286999999999999</v>
      </c>
      <c r="W9" s="4" t="n">
        <v>16</v>
      </c>
      <c r="X9" s="8" t="n">
        <v>0.3357</v>
      </c>
      <c r="Y9" s="6" t="n">
        <v>5</v>
      </c>
      <c r="Z9" s="7" t="n">
        <v>0.1364</v>
      </c>
    </row>
    <row r="10">
      <c r="A10" s="4" t="n">
        <v>6</v>
      </c>
      <c r="B10" s="4" t="inlineStr">
        <is>
          <t>GEN-2023-033</t>
        </is>
      </c>
      <c r="C10" s="4" t="inlineStr">
        <is>
          <t>DISIS-2023-001</t>
        </is>
      </c>
      <c r="D10" s="4" t="inlineStr">
        <is>
          <t>Clay</t>
        </is>
      </c>
      <c r="E10" s="4" t="inlineStr">
        <is>
          <t>MO</t>
        </is>
      </c>
      <c r="F10" s="4" t="inlineStr">
        <is>
          <t>WERE</t>
        </is>
      </c>
      <c r="G10" s="4" t="n">
        <v>536</v>
      </c>
      <c r="H10" s="4" t="n">
        <v>541248</v>
      </c>
      <c r="I10" s="4" t="inlineStr">
        <is>
          <t>LBRTYST5</t>
        </is>
      </c>
      <c r="J10" s="4" t="n">
        <v>161</v>
      </c>
      <c r="K10" s="4" t="inlineStr">
        <is>
          <t>Liberty South 161 kV</t>
        </is>
      </c>
      <c r="L10" s="4" t="inlineStr">
        <is>
          <t>Battery/Storage</t>
        </is>
      </c>
      <c r="M10" s="4" t="inlineStr">
        <is>
          <t>ER/NR</t>
        </is>
      </c>
      <c r="N10" s="4" t="n">
        <v>200</v>
      </c>
      <c r="O10" s="4" t="n">
        <v>200</v>
      </c>
      <c r="P10" s="4" t="inlineStr">
        <is>
          <t>4/15/2028</t>
        </is>
      </c>
      <c r="Q10" s="4" t="inlineStr">
        <is>
          <t>1/7/2028</t>
        </is>
      </c>
      <c r="R10" s="4" t="inlineStr">
        <is>
          <t>EmpirePrairie 6</t>
        </is>
      </c>
      <c r="S10" s="4" t="n">
        <v>18</v>
      </c>
      <c r="T10" s="8" t="n">
        <v>0.3598</v>
      </c>
      <c r="U10" s="4" t="n">
        <v>19</v>
      </c>
      <c r="V10" s="8" t="n">
        <v>0.5314</v>
      </c>
      <c r="W10" s="4" t="n">
        <v>17</v>
      </c>
      <c r="X10" s="8" t="n">
        <v>0.3384</v>
      </c>
      <c r="Y10" s="6" t="n">
        <v>6</v>
      </c>
      <c r="Z10" s="7" t="n">
        <v>0.1391</v>
      </c>
    </row>
    <row r="11">
      <c r="A11" s="4" t="n">
        <v>7</v>
      </c>
      <c r="B11" s="4" t="inlineStr">
        <is>
          <t>GEN-2023-170</t>
        </is>
      </c>
      <c r="C11" s="4" t="inlineStr">
        <is>
          <t>DISIS-2023-001</t>
        </is>
      </c>
      <c r="D11" s="4" t="inlineStr">
        <is>
          <t>Chariton</t>
        </is>
      </c>
      <c r="E11" s="4" t="inlineStr">
        <is>
          <t>MO</t>
        </is>
      </c>
      <c r="F11" s="4" t="inlineStr">
        <is>
          <t>WERE</t>
        </is>
      </c>
      <c r="G11" s="4" t="n">
        <v>536</v>
      </c>
      <c r="H11" s="4" t="n">
        <v>543062</v>
      </c>
      <c r="I11" s="4" t="inlineStr">
        <is>
          <t>SALSBRY5</t>
        </is>
      </c>
      <c r="J11" s="4" t="n">
        <v>161</v>
      </c>
      <c r="K11" s="4" t="inlineStr">
        <is>
          <t>Salisbury 161 kV</t>
        </is>
      </c>
      <c r="L11" s="4" t="inlineStr">
        <is>
          <t>Battery/Storage</t>
        </is>
      </c>
      <c r="M11" s="4" t="inlineStr">
        <is>
          <t>ER</t>
        </is>
      </c>
      <c r="N11" s="4" t="n">
        <v>150</v>
      </c>
      <c r="O11" s="4" t="n">
        <v>150</v>
      </c>
      <c r="P11" s="4" t="inlineStr">
        <is>
          <t>1/2/2028</t>
        </is>
      </c>
      <c r="Q11" s="4" t="inlineStr">
        <is>
          <t>1/6/2028</t>
        </is>
      </c>
      <c r="R11" s="4" t="inlineStr">
        <is>
          <t>EmpirePrairie 7</t>
        </is>
      </c>
      <c r="S11" s="4" t="n">
        <v>18</v>
      </c>
      <c r="T11" s="8" t="n">
        <v>0.381</v>
      </c>
      <c r="U11" s="4" t="n">
        <v>20</v>
      </c>
      <c r="V11" s="8" t="n">
        <v>0.5643</v>
      </c>
      <c r="W11" s="4" t="n">
        <v>16</v>
      </c>
      <c r="X11" s="8" t="n">
        <v>0.3596</v>
      </c>
      <c r="Y11" s="6" t="n">
        <v>7</v>
      </c>
      <c r="Z11" s="7" t="n">
        <v>0.1798</v>
      </c>
    </row>
    <row r="12">
      <c r="A12" s="4" t="n">
        <v>8</v>
      </c>
      <c r="B12" s="4" t="inlineStr">
        <is>
          <t>GEN-2023-037</t>
        </is>
      </c>
      <c r="C12" s="4" t="inlineStr">
        <is>
          <t>DISIS-2023-001</t>
        </is>
      </c>
      <c r="D12" s="4" t="inlineStr">
        <is>
          <t>Wyandotte</t>
        </is>
      </c>
      <c r="E12" s="4" t="inlineStr">
        <is>
          <t>KS</t>
        </is>
      </c>
      <c r="F12" s="4" t="inlineStr">
        <is>
          <t>KACY</t>
        </is>
      </c>
      <c r="G12" s="4" t="n">
        <v>542</v>
      </c>
      <c r="H12" s="4" t="n">
        <v>546653</v>
      </c>
      <c r="I12" s="4" t="inlineStr">
        <is>
          <t>NEARMAN5</t>
        </is>
      </c>
      <c r="J12" s="4" t="n">
        <v>161</v>
      </c>
      <c r="K12" s="4" t="inlineStr">
        <is>
          <t>Nearman 161 kV</t>
        </is>
      </c>
      <c r="L12" s="4" t="inlineStr">
        <is>
          <t>Battery/Storage</t>
        </is>
      </c>
      <c r="M12" s="4" t="inlineStr">
        <is>
          <t>ER/NR</t>
        </is>
      </c>
      <c r="N12" s="4" t="n">
        <v>200</v>
      </c>
      <c r="O12" s="4" t="n">
        <v>200</v>
      </c>
      <c r="P12" s="4" t="inlineStr">
        <is>
          <t>4/15/2028</t>
        </is>
      </c>
      <c r="Q12" s="4" t="inlineStr">
        <is>
          <t>1/7/2028</t>
        </is>
      </c>
      <c r="R12" s="4" t="inlineStr"/>
      <c r="S12" s="4" t="n">
        <v>17</v>
      </c>
      <c r="T12" s="8" t="n">
        <v>0.3684</v>
      </c>
      <c r="U12" s="4" t="n">
        <v>22</v>
      </c>
      <c r="V12" s="8" t="n">
        <v>0.5517</v>
      </c>
      <c r="W12" s="4" t="n">
        <v>15</v>
      </c>
      <c r="X12" s="8" t="n">
        <v>0.347</v>
      </c>
      <c r="Y12" s="4" t="n">
        <v>9</v>
      </c>
      <c r="Z12" s="8" t="n">
        <v>0.1908</v>
      </c>
    </row>
    <row r="13">
      <c r="A13" s="4" t="n">
        <v>9</v>
      </c>
      <c r="B13" s="4" t="inlineStr">
        <is>
          <t>GEN-2023-034</t>
        </is>
      </c>
      <c r="C13" s="4" t="inlineStr">
        <is>
          <t>DISIS-2023-001</t>
        </is>
      </c>
      <c r="D13" s="4" t="inlineStr">
        <is>
          <t>Sedgwick</t>
        </is>
      </c>
      <c r="E13" s="4" t="inlineStr">
        <is>
          <t>KS</t>
        </is>
      </c>
      <c r="F13" s="4" t="inlineStr">
        <is>
          <t>WERE</t>
        </is>
      </c>
      <c r="G13" s="4" t="n">
        <v>536</v>
      </c>
      <c r="H13" s="4" t="n">
        <v>533073</v>
      </c>
      <c r="I13" s="4" t="inlineStr">
        <is>
          <t>WACO N 4</t>
        </is>
      </c>
      <c r="J13" s="4" t="n">
        <v>138</v>
      </c>
      <c r="K13" s="4" t="inlineStr">
        <is>
          <t>Clear Water - Waco 138 kV line</t>
        </is>
      </c>
      <c r="L13" s="4" t="inlineStr">
        <is>
          <t>Solar</t>
        </is>
      </c>
      <c r="M13" s="4" t="inlineStr">
        <is>
          <t>ER/NR</t>
        </is>
      </c>
      <c r="N13" s="4" t="n">
        <v>130</v>
      </c>
      <c r="O13" s="4" t="n">
        <v>130</v>
      </c>
      <c r="P13" s="4" t="inlineStr">
        <is>
          <t>5/24/2026</t>
        </is>
      </c>
      <c r="Q13" s="4" t="inlineStr">
        <is>
          <t>1/9/2026</t>
        </is>
      </c>
      <c r="R13" s="4" t="inlineStr"/>
      <c r="S13" s="4" t="n">
        <v>12</v>
      </c>
      <c r="T13" s="8" t="n">
        <v>0.2757</v>
      </c>
      <c r="U13" s="4" t="n">
        <v>18</v>
      </c>
      <c r="V13" s="8" t="n">
        <v>0.459</v>
      </c>
      <c r="W13" s="4" t="n">
        <v>10</v>
      </c>
      <c r="X13" s="8" t="n">
        <v>0.2543</v>
      </c>
      <c r="Y13" s="4" t="n">
        <v>15</v>
      </c>
      <c r="Z13" s="8" t="n">
        <v>0.3138</v>
      </c>
    </row>
    <row r="14">
      <c r="A14" s="4" t="n">
        <v>10</v>
      </c>
      <c r="B14" s="4" t="inlineStr">
        <is>
          <t>GEN-2023-061</t>
        </is>
      </c>
      <c r="C14" s="4" t="inlineStr">
        <is>
          <t>DISIS-2023-001</t>
        </is>
      </c>
      <c r="D14" s="4" t="inlineStr">
        <is>
          <t>Jasper</t>
        </is>
      </c>
      <c r="E14" s="4" t="inlineStr">
        <is>
          <t>MO</t>
        </is>
      </c>
      <c r="F14" s="4" t="inlineStr">
        <is>
          <t>SWPA</t>
        </is>
      </c>
      <c r="G14" s="4" t="n">
        <v>515</v>
      </c>
      <c r="H14" s="4" t="n">
        <v>505488</v>
      </c>
      <c r="I14" s="4" t="inlineStr">
        <is>
          <t>CARTHAG5</t>
        </is>
      </c>
      <c r="J14" s="4" t="n">
        <v>161</v>
      </c>
      <c r="K14" s="4" t="inlineStr">
        <is>
          <t>Carthage 161 kV</t>
        </is>
      </c>
      <c r="L14" s="4" t="inlineStr">
        <is>
          <t>Battery/Storage</t>
        </is>
      </c>
      <c r="M14" s="4" t="inlineStr">
        <is>
          <t>ER/NR</t>
        </is>
      </c>
      <c r="N14" s="4" t="n">
        <v>100</v>
      </c>
      <c r="O14" s="4" t="n">
        <v>100</v>
      </c>
      <c r="P14" s="4" t="inlineStr">
        <is>
          <t>9/30/2027</t>
        </is>
      </c>
      <c r="Q14" s="4" t="inlineStr">
        <is>
          <t>12/31/2029</t>
        </is>
      </c>
      <c r="R14" s="4" t="inlineStr"/>
      <c r="S14" s="4" t="n">
        <v>18</v>
      </c>
      <c r="T14" s="8" t="n">
        <v>0.4046</v>
      </c>
      <c r="U14" s="4" t="n">
        <v>24</v>
      </c>
      <c r="V14" s="8" t="n">
        <v>0.5879</v>
      </c>
      <c r="W14" s="4" t="n">
        <v>16</v>
      </c>
      <c r="X14" s="8" t="n">
        <v>0.3832</v>
      </c>
      <c r="Y14" s="4" t="n">
        <v>16</v>
      </c>
      <c r="Z14" s="8" t="n">
        <v>0.3468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2026-09-26T15:44:52Z</dcterms:created>
  <dcterms:modified xsi:type="dcterms:W3CDTF">2026-09-26T15:44:52Z</dcterms:modified>
</cp:coreProperties>
</file>