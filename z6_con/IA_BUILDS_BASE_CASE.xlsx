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ase bui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7F7F7F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5" customWidth="1" min="3" max="3"/>
    <col width="15" customWidth="1" min="4" max="4"/>
    <col width="6" customWidth="1" min="5" max="5"/>
    <col width="8" customWidth="1" min="6" max="6"/>
    <col width="11" customWidth="1" min="7" max="7"/>
    <col width="9" customWidth="1" min="8" max="8"/>
    <col width="9" customWidth="1" min="9" max="9"/>
    <col width="12" customWidth="1" min="10" max="10"/>
    <col width="6" customWidth="1" min="11" max="11"/>
    <col width="26" customWidth="1" min="12" max="12"/>
    <col width="15" customWidth="1" min="13" max="13"/>
    <col width="10" customWidth="1" min="14" max="14"/>
    <col width="10" customWidth="1" min="15" max="15"/>
    <col width="10" customWidth="1" min="16" max="16"/>
    <col width="11" customWidth="1" min="17" max="17"/>
    <col width="11" customWidth="1" min="18" max="18"/>
    <col width="15" customWidth="1" min="19" max="19"/>
    <col width="7" customWidth="1" min="20" max="20"/>
    <col width="8" customWidth="1" min="21" max="21"/>
    <col width="22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IA builds to add in the base case (and the project case) -- DISIS-2023-001, 03 CENTRAL, Table 5</t>
        </is>
      </c>
    </row>
    <row r="2">
      <c r="A2" s="2" t="inlineStr">
        <is>
          <t>Area = expected from the TO; confirm against the case (rerun z6_poi_distance.py -- it now prints each POI bus's area).</t>
        </is>
      </c>
    </row>
    <row r="4" ht="45" customHeight="1">
      <c r="A4" s="3" t="inlineStr">
        <is>
          <t>#</t>
        </is>
      </c>
      <c r="B4" s="3" t="inlineStr">
        <is>
          <t>GEN number</t>
        </is>
      </c>
      <c r="C4" s="3" t="inlineStr">
        <is>
          <t>Cluster</t>
        </is>
      </c>
      <c r="D4" s="3" t="inlineStr">
        <is>
          <t>Nearest town / county</t>
        </is>
      </c>
      <c r="E4" s="3" t="inlineStr">
        <is>
          <t>State</t>
        </is>
      </c>
      <c r="F4" s="3" t="inlineStr">
        <is>
          <t>TO at POI</t>
        </is>
      </c>
      <c r="G4" s="3" t="inlineStr">
        <is>
          <t>Area (expected from TO)</t>
        </is>
      </c>
      <c r="H4" s="3" t="inlineStr">
        <is>
          <t>Area name</t>
        </is>
      </c>
      <c r="I4" s="3" t="inlineStr">
        <is>
          <t>POI bus</t>
        </is>
      </c>
      <c r="J4" s="3" t="inlineStr">
        <is>
          <t>POI bus name</t>
        </is>
      </c>
      <c r="K4" s="3" t="inlineStr">
        <is>
          <t>kV</t>
        </is>
      </c>
      <c r="L4" s="3" t="inlineStr">
        <is>
          <t>Substation</t>
        </is>
      </c>
      <c r="M4" s="3" t="inlineStr">
        <is>
          <t>Generation type</t>
        </is>
      </c>
      <c r="N4" s="3" t="inlineStr">
        <is>
          <t>Service type</t>
        </is>
      </c>
      <c r="O4" s="3" t="inlineStr">
        <is>
          <t>Capacity MW</t>
        </is>
      </c>
      <c r="P4" s="3" t="inlineStr">
        <is>
          <t>Max summer MW</t>
        </is>
      </c>
      <c r="Q4" s="3" t="inlineStr">
        <is>
          <t>In-service date</t>
        </is>
      </c>
      <c r="R4" s="3" t="inlineStr">
        <is>
          <t>COD</t>
        </is>
      </c>
      <c r="S4" s="3" t="inlineStr">
        <is>
          <t>Closest study project</t>
        </is>
      </c>
      <c r="T4" s="3" t="inlineStr">
        <is>
          <t>Nodes</t>
        </is>
      </c>
      <c r="U4" s="3" t="inlineStr">
        <is>
          <t>|Z| pu</t>
        </is>
      </c>
      <c r="V4" s="3" t="inlineStr">
        <is>
          <t>Why modelled</t>
        </is>
      </c>
      <c r="W4" s="3" t="inlineStr">
        <is>
          <t>SantaFe nodes</t>
        </is>
      </c>
      <c r="X4" s="3" t="inlineStr">
        <is>
          <t>SantaFe |Z| pu</t>
        </is>
      </c>
      <c r="Y4" s="3" t="inlineStr">
        <is>
          <t>EastFork nodes</t>
        </is>
      </c>
      <c r="Z4" s="3" t="inlineStr">
        <is>
          <t>EastFork |Z| pu</t>
        </is>
      </c>
      <c r="AA4" s="3" t="inlineStr">
        <is>
          <t>IronStar nodes</t>
        </is>
      </c>
      <c r="AB4" s="3" t="inlineStr">
        <is>
          <t>IronStar |Z| pu</t>
        </is>
      </c>
      <c r="AC4" s="3" t="inlineStr">
        <is>
          <t>EmpirePrairie nodes</t>
        </is>
      </c>
      <c r="AD4" s="3" t="inlineStr">
        <is>
          <t>EmpirePrairie |Z| pu</t>
        </is>
      </c>
    </row>
    <row r="5">
      <c r="A5" s="4" t="n">
        <v>1</v>
      </c>
      <c r="B5" s="4" t="inlineStr">
        <is>
          <t>GEN-2023-173</t>
        </is>
      </c>
      <c r="C5" s="4" t="inlineStr">
        <is>
          <t>DISIS-2023-001</t>
        </is>
      </c>
      <c r="D5" s="4" t="inlineStr">
        <is>
          <t>Kearny</t>
        </is>
      </c>
      <c r="E5" s="4" t="inlineStr">
        <is>
          <t>KS</t>
        </is>
      </c>
      <c r="F5" s="4" t="inlineStr">
        <is>
          <t>SUNC</t>
        </is>
      </c>
      <c r="G5" s="4" t="n">
        <v>534</v>
      </c>
      <c r="H5" s="4" t="inlineStr">
        <is>
          <t>SUNC</t>
        </is>
      </c>
      <c r="I5" s="4" t="n">
        <v>531449</v>
      </c>
      <c r="J5" s="4" t="inlineStr">
        <is>
          <t>HOLCOMB7</t>
        </is>
      </c>
      <c r="K5" s="4" t="n">
        <v>345</v>
      </c>
      <c r="L5" s="4" t="inlineStr">
        <is>
          <t>Holcomb 345 kV</t>
        </is>
      </c>
      <c r="M5" s="4" t="inlineStr">
        <is>
          <t>Wind</t>
        </is>
      </c>
      <c r="N5" s="4" t="inlineStr">
        <is>
          <t>ER/NR</t>
        </is>
      </c>
      <c r="O5" s="4" t="n">
        <v>100</v>
      </c>
      <c r="P5" s="4" t="n">
        <v>100</v>
      </c>
      <c r="Q5" s="4" t="inlineStr">
        <is>
          <t>1/9/2027</t>
        </is>
      </c>
      <c r="R5" s="4" t="inlineStr">
        <is>
          <t>12/31/2029</t>
        </is>
      </c>
      <c r="S5" s="4" t="inlineStr">
        <is>
          <t>SantaFe</t>
        </is>
      </c>
      <c r="T5" s="4" t="n">
        <v>2</v>
      </c>
      <c r="U5" s="5" t="n">
        <v>0.0234</v>
      </c>
      <c r="V5" s="4" t="inlineStr">
        <is>
          <t>&lt;=6 nodes</t>
        </is>
      </c>
      <c r="W5" s="6" t="n">
        <v>2</v>
      </c>
      <c r="X5" s="7" t="n">
        <v>0.0234</v>
      </c>
      <c r="Y5" s="6" t="n">
        <v>4</v>
      </c>
      <c r="Z5" s="7" t="n">
        <v>0.16</v>
      </c>
      <c r="AA5" s="6" t="n">
        <v>5</v>
      </c>
      <c r="AB5" s="7" t="n">
        <v>0.0448</v>
      </c>
      <c r="AC5" s="4" t="n">
        <v>13</v>
      </c>
      <c r="AD5" s="5" t="n">
        <v>0.2764</v>
      </c>
    </row>
    <row r="6">
      <c r="A6" s="4" t="n">
        <v>2</v>
      </c>
      <c r="B6" s="4" t="inlineStr">
        <is>
          <t>GEN-2023-172</t>
        </is>
      </c>
      <c r="C6" s="4" t="inlineStr">
        <is>
          <t>DISIS-2023-001</t>
        </is>
      </c>
      <c r="D6" s="4" t="inlineStr">
        <is>
          <t>Kearny</t>
        </is>
      </c>
      <c r="E6" s="4" t="inlineStr">
        <is>
          <t>KS</t>
        </is>
      </c>
      <c r="F6" s="4" t="inlineStr">
        <is>
          <t>SUNC</t>
        </is>
      </c>
      <c r="G6" s="4" t="n">
        <v>534</v>
      </c>
      <c r="H6" s="4" t="inlineStr">
        <is>
          <t>SUNC</t>
        </is>
      </c>
      <c r="I6" s="4" t="n">
        <v>531449</v>
      </c>
      <c r="J6" s="4" t="inlineStr">
        <is>
          <t>HOLCOMB7</t>
        </is>
      </c>
      <c r="K6" s="4" t="n">
        <v>345</v>
      </c>
      <c r="L6" s="4" t="inlineStr">
        <is>
          <t>Holcomb 345 kV</t>
        </is>
      </c>
      <c r="M6" s="4" t="inlineStr">
        <is>
          <t>Wind</t>
        </is>
      </c>
      <c r="N6" s="4" t="inlineStr">
        <is>
          <t>ER/NR</t>
        </is>
      </c>
      <c r="O6" s="4" t="n">
        <v>200</v>
      </c>
      <c r="P6" s="4" t="n">
        <v>200</v>
      </c>
      <c r="Q6" s="4" t="inlineStr">
        <is>
          <t>1/9/2027</t>
        </is>
      </c>
      <c r="R6" s="4" t="inlineStr">
        <is>
          <t>12/31/2029</t>
        </is>
      </c>
      <c r="S6" s="4" t="inlineStr">
        <is>
          <t>SantaFe</t>
        </is>
      </c>
      <c r="T6" s="4" t="n">
        <v>2</v>
      </c>
      <c r="U6" s="5" t="n">
        <v>0.0234</v>
      </c>
      <c r="V6" s="4" t="inlineStr">
        <is>
          <t>&lt;=6 nodes</t>
        </is>
      </c>
      <c r="W6" s="6" t="n">
        <v>2</v>
      </c>
      <c r="X6" s="7" t="n">
        <v>0.0234</v>
      </c>
      <c r="Y6" s="6" t="n">
        <v>4</v>
      </c>
      <c r="Z6" s="7" t="n">
        <v>0.16</v>
      </c>
      <c r="AA6" s="6" t="n">
        <v>5</v>
      </c>
      <c r="AB6" s="7" t="n">
        <v>0.0448</v>
      </c>
      <c r="AC6" s="4" t="n">
        <v>13</v>
      </c>
      <c r="AD6" s="5" t="n">
        <v>0.2764</v>
      </c>
    </row>
    <row r="7">
      <c r="A7" s="4" t="n">
        <v>3</v>
      </c>
      <c r="B7" s="4" t="inlineStr">
        <is>
          <t>GEN-2023-107</t>
        </is>
      </c>
      <c r="C7" s="4" t="inlineStr">
        <is>
          <t>DISIS-2023-001</t>
        </is>
      </c>
      <c r="D7" s="4" t="inlineStr">
        <is>
          <t>Finney/Kearny</t>
        </is>
      </c>
      <c r="E7" s="4" t="inlineStr">
        <is>
          <t>KS</t>
        </is>
      </c>
      <c r="F7" s="4" t="inlineStr">
        <is>
          <t>SUNC</t>
        </is>
      </c>
      <c r="G7" s="4" t="n">
        <v>534</v>
      </c>
      <c r="H7" s="4" t="inlineStr">
        <is>
          <t>SUNC</t>
        </is>
      </c>
      <c r="I7" s="4" t="n">
        <v>531465</v>
      </c>
      <c r="J7" s="4" t="inlineStr">
        <is>
          <t>SETAB  7</t>
        </is>
      </c>
      <c r="K7" s="4" t="n">
        <v>345</v>
      </c>
      <c r="L7" s="4" t="inlineStr">
        <is>
          <t>Setab 345 kV</t>
        </is>
      </c>
      <c r="M7" s="4" t="inlineStr">
        <is>
          <t>Wind</t>
        </is>
      </c>
      <c r="N7" s="4" t="inlineStr">
        <is>
          <t>ER</t>
        </is>
      </c>
      <c r="O7" s="4" t="n">
        <v>300</v>
      </c>
      <c r="P7" s="4" t="n">
        <v>300</v>
      </c>
      <c r="Q7" s="4" t="inlineStr">
        <is>
          <t>1/5/2030</t>
        </is>
      </c>
      <c r="R7" s="4" t="inlineStr">
        <is>
          <t>12/31/2030</t>
        </is>
      </c>
      <c r="S7" s="4" t="inlineStr">
        <is>
          <t>SantaFe</t>
        </is>
      </c>
      <c r="T7" s="4" t="n">
        <v>3</v>
      </c>
      <c r="U7" s="5" t="n">
        <v>0.0427</v>
      </c>
      <c r="V7" s="4" t="inlineStr">
        <is>
          <t>&lt;=6 nodes</t>
        </is>
      </c>
      <c r="W7" s="6" t="n">
        <v>3</v>
      </c>
      <c r="X7" s="7" t="n">
        <v>0.0427</v>
      </c>
      <c r="Y7" s="6" t="n">
        <v>3</v>
      </c>
      <c r="Z7" s="7" t="n">
        <v>0.1407</v>
      </c>
      <c r="AA7" s="6" t="n">
        <v>6</v>
      </c>
      <c r="AB7" s="7" t="n">
        <v>0.0641</v>
      </c>
      <c r="AC7" s="4" t="n">
        <v>12</v>
      </c>
      <c r="AD7" s="5" t="n">
        <v>0.2957</v>
      </c>
    </row>
    <row r="8">
      <c r="A8" s="4" t="n">
        <v>4</v>
      </c>
      <c r="B8" s="4" t="inlineStr">
        <is>
          <t>GEN-2023-099</t>
        </is>
      </c>
      <c r="C8" s="4" t="inlineStr">
        <is>
          <t>DISIS-2023-001</t>
        </is>
      </c>
      <c r="D8" s="4" t="inlineStr">
        <is>
          <t>Jackson</t>
        </is>
      </c>
      <c r="E8" s="4" t="inlineStr">
        <is>
          <t>KS</t>
        </is>
      </c>
      <c r="F8" s="4" t="inlineStr">
        <is>
          <t>WERE</t>
        </is>
      </c>
      <c r="G8" s="4" t="n">
        <v>536</v>
      </c>
      <c r="H8" s="4" t="inlineStr">
        <is>
          <t>WERE</t>
        </is>
      </c>
      <c r="I8" s="4" t="n">
        <v>532766</v>
      </c>
      <c r="J8" s="4" t="inlineStr">
        <is>
          <t>JEC N  7</t>
        </is>
      </c>
      <c r="K8" s="4" t="n">
        <v>345</v>
      </c>
      <c r="L8" s="4" t="inlineStr">
        <is>
          <t>Jeffery Energy Center 345 kV</t>
        </is>
      </c>
      <c r="M8" s="4" t="inlineStr">
        <is>
          <t>Solar</t>
        </is>
      </c>
      <c r="N8" s="4" t="inlineStr">
        <is>
          <t>ER</t>
        </is>
      </c>
      <c r="O8" s="4" t="n">
        <v>300</v>
      </c>
      <c r="P8" s="4" t="n">
        <v>300</v>
      </c>
      <c r="Q8" s="4" t="inlineStr">
        <is>
          <t>8/30/2030</t>
        </is>
      </c>
      <c r="R8" s="4" t="inlineStr">
        <is>
          <t>12/31/2030</t>
        </is>
      </c>
      <c r="S8" s="4" t="inlineStr">
        <is>
          <t>EmpirePrairie</t>
        </is>
      </c>
      <c r="T8" s="4" t="n">
        <v>5</v>
      </c>
      <c r="U8" s="5" t="n">
        <v>0.0606</v>
      </c>
      <c r="V8" s="4" t="inlineStr">
        <is>
          <t>&lt;=6 nodes</t>
        </is>
      </c>
      <c r="W8" s="4" t="n">
        <v>10</v>
      </c>
      <c r="X8" s="5" t="n">
        <v>0.1996</v>
      </c>
      <c r="Y8" s="4" t="n">
        <v>15</v>
      </c>
      <c r="Z8" s="5" t="n">
        <v>0.383</v>
      </c>
      <c r="AA8" s="4" t="n">
        <v>8</v>
      </c>
      <c r="AB8" s="5" t="n">
        <v>0.1782</v>
      </c>
      <c r="AC8" s="6" t="n">
        <v>5</v>
      </c>
      <c r="AD8" s="7" t="n">
        <v>0.0606</v>
      </c>
    </row>
    <row r="9">
      <c r="A9" s="4" t="n">
        <v>5</v>
      </c>
      <c r="B9" s="4" t="inlineStr">
        <is>
          <t>GEN-2023-171</t>
        </is>
      </c>
      <c r="C9" s="4" t="inlineStr">
        <is>
          <t>DISIS-2023-001</t>
        </is>
      </c>
      <c r="D9" s="4" t="inlineStr">
        <is>
          <t>Jackson</t>
        </is>
      </c>
      <c r="E9" s="4" t="inlineStr">
        <is>
          <t>MO</t>
        </is>
      </c>
      <c r="F9" s="4" t="inlineStr">
        <is>
          <t>INDN</t>
        </is>
      </c>
      <c r="G9" s="4" t="n">
        <v>545</v>
      </c>
      <c r="H9" s="4" t="inlineStr">
        <is>
          <t>INDN</t>
        </is>
      </c>
      <c r="I9" s="4" t="n">
        <v>548814</v>
      </c>
      <c r="J9" s="4" t="inlineStr">
        <is>
          <t>SUB M-161</t>
        </is>
      </c>
      <c r="K9" s="4" t="n">
        <v>161</v>
      </c>
      <c r="L9" s="4" t="inlineStr">
        <is>
          <t>Sub M 161 kV</t>
        </is>
      </c>
      <c r="M9" s="4" t="inlineStr">
        <is>
          <t>Battery/Storage</t>
        </is>
      </c>
      <c r="N9" s="4" t="inlineStr">
        <is>
          <t>ER/NR</t>
        </is>
      </c>
      <c r="O9" s="4" t="n">
        <v>150</v>
      </c>
      <c r="P9" s="4" t="n">
        <v>150</v>
      </c>
      <c r="Q9" s="4" t="inlineStr">
        <is>
          <t>1/2/2028</t>
        </is>
      </c>
      <c r="R9" s="4" t="inlineStr">
        <is>
          <t>1/6/2028</t>
        </is>
      </c>
      <c r="S9" s="4" t="inlineStr">
        <is>
          <t>EmpirePrairie</t>
        </is>
      </c>
      <c r="T9" s="4" t="n">
        <v>5</v>
      </c>
      <c r="U9" s="5" t="n">
        <v>0.1364</v>
      </c>
      <c r="V9" s="4" t="inlineStr">
        <is>
          <t>&lt;=6 nodes</t>
        </is>
      </c>
      <c r="W9" s="4" t="n">
        <v>17</v>
      </c>
      <c r="X9" s="5" t="n">
        <v>0.3571</v>
      </c>
      <c r="Y9" s="4" t="n">
        <v>18</v>
      </c>
      <c r="Z9" s="5" t="n">
        <v>0.5286999999999999</v>
      </c>
      <c r="AA9" s="4" t="n">
        <v>16</v>
      </c>
      <c r="AB9" s="5" t="n">
        <v>0.3357</v>
      </c>
      <c r="AC9" s="6" t="n">
        <v>5</v>
      </c>
      <c r="AD9" s="7" t="n">
        <v>0.1364</v>
      </c>
    </row>
    <row r="10">
      <c r="A10" s="4" t="n">
        <v>6</v>
      </c>
      <c r="B10" s="4" t="inlineStr">
        <is>
          <t>GEN-2023-033</t>
        </is>
      </c>
      <c r="C10" s="4" t="inlineStr">
        <is>
          <t>DISIS-2023-001</t>
        </is>
      </c>
      <c r="D10" s="4" t="inlineStr">
        <is>
          <t>Clay</t>
        </is>
      </c>
      <c r="E10" s="4" t="inlineStr">
        <is>
          <t>MO</t>
        </is>
      </c>
      <c r="F10" s="4" t="inlineStr">
        <is>
          <t>WERE</t>
        </is>
      </c>
      <c r="G10" s="4" t="n">
        <v>536</v>
      </c>
      <c r="H10" s="4" t="inlineStr">
        <is>
          <t>WERE</t>
        </is>
      </c>
      <c r="I10" s="4" t="n">
        <v>541248</v>
      </c>
      <c r="J10" s="4" t="inlineStr">
        <is>
          <t>LBRTYST5</t>
        </is>
      </c>
      <c r="K10" s="4" t="n">
        <v>161</v>
      </c>
      <c r="L10" s="4" t="inlineStr">
        <is>
          <t>Liberty South 161 kV</t>
        </is>
      </c>
      <c r="M10" s="4" t="inlineStr">
        <is>
          <t>Battery/Storage</t>
        </is>
      </c>
      <c r="N10" s="4" t="inlineStr">
        <is>
          <t>ER/NR</t>
        </is>
      </c>
      <c r="O10" s="4" t="n">
        <v>200</v>
      </c>
      <c r="P10" s="4" t="n">
        <v>200</v>
      </c>
      <c r="Q10" s="4" t="inlineStr">
        <is>
          <t>4/15/2028</t>
        </is>
      </c>
      <c r="R10" s="4" t="inlineStr">
        <is>
          <t>1/7/2028</t>
        </is>
      </c>
      <c r="S10" s="4" t="inlineStr">
        <is>
          <t>EmpirePrairie</t>
        </is>
      </c>
      <c r="T10" s="4" t="n">
        <v>6</v>
      </c>
      <c r="U10" s="5" t="n">
        <v>0.1391</v>
      </c>
      <c r="V10" s="4" t="inlineStr">
        <is>
          <t>&lt;=6 nodes</t>
        </is>
      </c>
      <c r="W10" s="4" t="n">
        <v>18</v>
      </c>
      <c r="X10" s="5" t="n">
        <v>0.3598</v>
      </c>
      <c r="Y10" s="4" t="n">
        <v>19</v>
      </c>
      <c r="Z10" s="5" t="n">
        <v>0.5314</v>
      </c>
      <c r="AA10" s="4" t="n">
        <v>17</v>
      </c>
      <c r="AB10" s="5" t="n">
        <v>0.3384</v>
      </c>
      <c r="AC10" s="6" t="n">
        <v>6</v>
      </c>
      <c r="AD10" s="7" t="n">
        <v>0.1391</v>
      </c>
    </row>
    <row r="11">
      <c r="A11" s="8" t="n">
        <v>7</v>
      </c>
      <c r="B11" s="8" t="inlineStr">
        <is>
          <t>GEN-2023-170</t>
        </is>
      </c>
      <c r="C11" s="8" t="inlineStr">
        <is>
          <t>DISIS-2023-001</t>
        </is>
      </c>
      <c r="D11" s="8" t="inlineStr">
        <is>
          <t>Chariton</t>
        </is>
      </c>
      <c r="E11" s="8" t="inlineStr">
        <is>
          <t>MO</t>
        </is>
      </c>
      <c r="F11" s="8" t="inlineStr">
        <is>
          <t>WERE</t>
        </is>
      </c>
      <c r="G11" s="8" t="n">
        <v>536</v>
      </c>
      <c r="H11" s="8" t="inlineStr">
        <is>
          <t>WERE</t>
        </is>
      </c>
      <c r="I11" s="8" t="n">
        <v>543062</v>
      </c>
      <c r="J11" s="8" t="inlineStr">
        <is>
          <t>SALSBRY5</t>
        </is>
      </c>
      <c r="K11" s="8" t="n">
        <v>161</v>
      </c>
      <c r="L11" s="8" t="inlineStr">
        <is>
          <t>Salisbury 161 kV</t>
        </is>
      </c>
      <c r="M11" s="8" t="inlineStr">
        <is>
          <t>Battery/Storage</t>
        </is>
      </c>
      <c r="N11" s="8" t="inlineStr">
        <is>
          <t>ER</t>
        </is>
      </c>
      <c r="O11" s="8" t="n">
        <v>150</v>
      </c>
      <c r="P11" s="8" t="n">
        <v>150</v>
      </c>
      <c r="Q11" s="8" t="inlineStr">
        <is>
          <t>1/2/2028</t>
        </is>
      </c>
      <c r="R11" s="8" t="inlineStr">
        <is>
          <t>1/6/2028</t>
        </is>
      </c>
      <c r="S11" s="8" t="inlineStr">
        <is>
          <t>EmpirePrairie</t>
        </is>
      </c>
      <c r="T11" s="8" t="n">
        <v>7</v>
      </c>
      <c r="U11" s="9" t="n">
        <v>0.1798</v>
      </c>
      <c r="V11" s="8" t="inlineStr">
        <is>
          <t>added (7 nodes)</t>
        </is>
      </c>
      <c r="W11" s="4" t="n">
        <v>18</v>
      </c>
      <c r="X11" s="5" t="n">
        <v>0.381</v>
      </c>
      <c r="Y11" s="4" t="n">
        <v>20</v>
      </c>
      <c r="Z11" s="5" t="n">
        <v>0.5643</v>
      </c>
      <c r="AA11" s="4" t="n">
        <v>16</v>
      </c>
      <c r="AB11" s="5" t="n">
        <v>0.3596</v>
      </c>
      <c r="AC11" s="4" t="n">
        <v>7</v>
      </c>
      <c r="AD11" s="5" t="n">
        <v>0.1798</v>
      </c>
    </row>
    <row r="12"/>
    <row r="13">
      <c r="B13" s="10" t="inlineStr">
        <is>
          <t>TOTAL</t>
        </is>
      </c>
      <c r="O13" s="10">
        <f>SUM(O5:O11)</f>
        <v/>
      </c>
      <c r="P13" s="10">
        <f>SUM(P5:P11)</f>
        <v/>
      </c>
    </row>
    <row r="14"/>
    <row r="15">
      <c r="B15" t="inlineStr">
        <is>
          <t>Green = within 6 nodes of that project. Yellow row = added beyond the 6-node rule.</t>
        </is>
      </c>
    </row>
    <row r="16">
      <c r="B16" t="inlineStr">
        <is>
          <t>Left out: GEN-2023-037 Nearman, GEN-2023-034 Clear Water-Waco, GEN-2023-061 Carthage (&gt;= 7 nodes and &gt;= 0.18 pu from every project).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2026-09-26T15:36:23Z</dcterms:created>
  <dcterms:modified xsi:type="dcterms:W3CDTF">2026-09-26T15:39:06Z</dcterms:modified>
</cp:coreProperties>
</file>